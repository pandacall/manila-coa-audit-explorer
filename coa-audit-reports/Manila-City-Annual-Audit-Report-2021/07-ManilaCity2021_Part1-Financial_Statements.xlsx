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les WADAS\AARS\Riziel\AAR\2021\NCR\CY 2021 AAR - Manila City\CY 2021 AAR - Manila City\final\"/>
    </mc:Choice>
  </mc:AlternateContent>
  <xr:revisionPtr revIDLastSave="0" documentId="13_ncr:1_{81A039A5-5986-4056-B06C-BEC5E43208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FPo" sheetId="1" r:id="rId1"/>
    <sheet name="SFPe" sheetId="2" r:id="rId2"/>
    <sheet name="SCNAE" sheetId="3" r:id="rId3"/>
    <sheet name="SCF" sheetId="4" r:id="rId4"/>
    <sheet name="SCBAA" sheetId="6" r:id="rId5"/>
  </sheets>
  <definedNames>
    <definedName name="_xlnm.Print_Area" localSheetId="4">SCBAA!$A$1:$K$75</definedName>
    <definedName name="_xlnm.Print_Area" localSheetId="3">SCF!$A$1:$E$41</definedName>
    <definedName name="_xlnm.Print_Area" localSheetId="2">SCNAE!$A$1:$E$15</definedName>
    <definedName name="_xlnm.Print_Area" localSheetId="1">SFPe!$A$1:$E$28</definedName>
    <definedName name="_xlnm.Print_Area" localSheetId="0">SFPo!$A$1:$E$43</definedName>
    <definedName name="_xlnm.Print_Titles" localSheetId="4">SCBAA!$1:$6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5" i="1" l="1"/>
  <c r="D45" i="1"/>
</calcChain>
</file>

<file path=xl/sharedStrings.xml><?xml version="1.0" encoding="utf-8"?>
<sst xmlns="http://schemas.openxmlformats.org/spreadsheetml/2006/main" count="202" uniqueCount="148">
  <si>
    <t>CITY OF MANILA</t>
  </si>
  <si>
    <t>Note</t>
  </si>
  <si>
    <t>ASSETS</t>
  </si>
  <si>
    <t>Current Assets</t>
  </si>
  <si>
    <t>Cash and Cash Equivalents</t>
  </si>
  <si>
    <t>Investments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</si>
  <si>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</si>
  <si>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</si>
  <si>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</si>
  <si>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</si>
  <si>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</si>
  <si>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</si>
  <si>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</si>
  <si>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</si>
  <si>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</si>
  <si>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</si>
  <si>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</si>
  <si>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</si>
  <si>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</si>
  <si>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</si>
  <si>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</si>
  <si>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</si>
  <si>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Deferred Credits/Unearned Income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</si>
  <si>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</si>
  <si>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</si>
  <si>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</si>
  <si>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</si>
  <si>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</si>
  <si>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</si>
  <si>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See Accompanying Notes to Financial Statements</t>
  </si>
  <si>
    <t xml:space="preserve">Revenue </t>
  </si>
  <si>
    <t>Tax Revenue</t>
  </si>
  <si>
    <t>Service and Business Income</t>
  </si>
  <si>
    <t>Shares, Grants and Donations</t>
  </si>
  <si>
    <t>Miscellaneous Income</t>
  </si>
  <si>
    <t>Total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</si>
  <si>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</si>
  <si>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</si>
  <si>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</si>
  <si>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</si>
  <si>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</si>
  <si>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</si>
  <si>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Add (Deduct):</t>
  </si>
  <si>
    <t>Surplus (Deficit) for the period</t>
  </si>
  <si>
    <t>Adjustment of net revenue recognized directly in net assets/equity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</si>
  <si>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</si>
  <si>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</si>
  <si>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</si>
  <si>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</si>
  <si>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</si>
  <si>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</si>
  <si>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</si>
  <si>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</si>
  <si>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</si>
  <si>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</si>
  <si>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</si>
  <si>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</si>
  <si>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</si>
  <si>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</si>
  <si>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</si>
  <si>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</si>
  <si>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Proceeds from Sale/Disposal of Property, Plant and Equipment</t>
  </si>
  <si>
    <t>Purchase/Construction of Property, Plant and Equipment</t>
  </si>
  <si>
    <t>Net Cash Flows from  Investing Activities</t>
  </si>
  <si>
    <t>Cash Flows from Financing Activities</t>
  </si>
  <si>
    <t>Payment of loan amortization</t>
  </si>
  <si>
    <t>Net Cash Flows from Financing Activities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</si>
  <si>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</si>
  <si>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</si>
  <si>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</si>
  <si>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</si>
  <si>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</si>
  <si>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</si>
  <si>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</si>
  <si>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</si>
  <si>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</si>
  <si>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</si>
  <si>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</si>
  <si>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</si>
  <si>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b.</t>
  </si>
  <si>
    <t>Other Local Taxes</t>
  </si>
  <si>
    <t>c.</t>
  </si>
  <si>
    <t>Total Tax Revenue</t>
  </si>
  <si>
    <t>2.</t>
  </si>
  <si>
    <t>Non-Tax Revenue</t>
  </si>
  <si>
    <t>Total Non-Tax Revenue</t>
  </si>
  <si>
    <t>B.</t>
  </si>
  <si>
    <t>External Sources</t>
  </si>
  <si>
    <t>Share from the National Internal Revenue Taxes (IRA)</t>
  </si>
  <si>
    <t>Sale of Capital Assets</t>
  </si>
  <si>
    <t>C.</t>
  </si>
  <si>
    <t>Receipts from Borrowings</t>
  </si>
  <si>
    <t>Total Revenues and Receipts</t>
  </si>
  <si>
    <t>Current Appropriations</t>
  </si>
  <si>
    <t xml:space="preserve">Expenditures 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</si>
  <si>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</si>
  <si>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</si>
  <si>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</si>
  <si>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</si>
  <si>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</si>
  <si>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</si>
  <si>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Financial Expense</t>
  </si>
  <si>
    <t>Amortization</t>
  </si>
  <si>
    <t>Debt Service</t>
  </si>
  <si>
    <t>LDRRMF</t>
  </si>
  <si>
    <t>20% Development Fund</t>
  </si>
  <si>
    <t>Allocation for Senior Citizens and PWD</t>
  </si>
  <si>
    <t>Total Current Appropriations</t>
  </si>
  <si>
    <t>Education</t>
  </si>
  <si>
    <t>Add: Cash at the Beginning of the Year</t>
  </si>
  <si>
    <t>Total Cash Provided by (Used in) Operating, Investing and Financing Activities</t>
  </si>
  <si>
    <t>Cash Balance as at December 31</t>
  </si>
  <si>
    <t>Surplus(Deficit) for the Period</t>
  </si>
  <si>
    <t>STATEMENT OF FINANCIAL POSITION</t>
  </si>
  <si>
    <t>STATEMENT OF FINANCIAL PERFORMANCE</t>
  </si>
  <si>
    <t xml:space="preserve"> STATEMENT OF CHANGES IN NET ASSETS/EQUITY</t>
  </si>
  <si>
    <t>STATEMENT OF COMPARISON OF BUDGET AND ACTUAL AMOUNTS</t>
  </si>
  <si>
    <t>STATEMENT OF CASH FLOWS</t>
  </si>
  <si>
    <t>Balance at January 1</t>
  </si>
  <si>
    <t>Balance at December 31</t>
  </si>
  <si>
    <t>Tax Revenue - Property</t>
  </si>
  <si>
    <t>Tax Revenue - Goods and Services</t>
  </si>
  <si>
    <t>Others</t>
  </si>
  <si>
    <t>Total Appropriations</t>
  </si>
  <si>
    <t>Gain on Sale of Assets</t>
  </si>
  <si>
    <t>Proceeds from Loans</t>
  </si>
  <si>
    <t>Surplus for the period</t>
  </si>
  <si>
    <t>Add: Changes in net assets/equity</t>
  </si>
  <si>
    <t>Restated Balance</t>
  </si>
  <si>
    <t>As at December 31, 2021</t>
  </si>
  <si>
    <t>(With Corresponding Figures for Calendar Year 2020 Restated)</t>
  </si>
  <si>
    <t>For the Year Ended December 31, 2021</t>
  </si>
  <si>
    <t>(With Corresponding Figures for Calendar Year  2020 Restated)</t>
  </si>
  <si>
    <t>Intagible Assets</t>
  </si>
  <si>
    <t>Share from Internal Revenue Collections</t>
  </si>
  <si>
    <t>Financial Liabilities - Non-Current</t>
  </si>
  <si>
    <t>Continuing Appropriations</t>
  </si>
  <si>
    <t>Total Continuing Appropriations</t>
  </si>
  <si>
    <t>a.  Permit and Licence Fee</t>
  </si>
  <si>
    <t>b.  Other Fees</t>
  </si>
  <si>
    <t>c.  Service Income</t>
  </si>
  <si>
    <t>d. Business Income</t>
  </si>
  <si>
    <t>e. Other Income and Receipts</t>
  </si>
  <si>
    <t>Add (Deduct):
 Prior Period Errors</t>
  </si>
  <si>
    <t>Transfers, Assistance/Subsidy From</t>
  </si>
  <si>
    <t>Surplus (Deficit) From Current Operations</t>
  </si>
  <si>
    <t>Transfers, Assistance/Subsidy To</t>
  </si>
  <si>
    <t>Proceeds from Collections of Loan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</si>
</sst>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_);_(* \(#,##0.00\);_(* &quot;-&quot;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2"/>
      <color indexed="8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indexed="8"/>
      <name val="Arial"/>
      <family val="2"/>
    </font>
    <font>
      <i/>
      <sz val="10"/>
      <color indexed="8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8"/>
      <color indexed="8"/>
      <name val="Times New Roman"/>
      <family val="1"/>
    </font>
    <font>
      <sz val="10"/>
      <name val="Times New Roman"/>
      <family val="1"/>
    </font>
    <font>
      <b/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1" fillId="0" borderId="0"/>
    <xf numFmtId="164" fontId="1" fillId="0" borderId="0" applyFont="0" applyFill="0" applyBorder="0" applyAlignment="0" applyProtection="0"/>
    <xf numFmtId="0" fontId="1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" fillId="0" borderId="0"/>
    <xf numFmtId="0" fontId="2" fillId="0" borderId="0"/>
  </cellStyleXfs>
  <cellXfs count="173">
    <xf numFmtId="0" fontId="0" fillId="0" borderId="0" xfId="0"/>
    <xf numFmtId="0" fontId="4" fillId="0" borderId="0" xfId="1" applyFont="1"/>
    <xf numFmtId="0" fontId="23" fillId="0" borderId="0" xfId="39" applyFont="1"/>
    <xf numFmtId="0" fontId="24" fillId="0" borderId="0" xfId="39" applyFont="1"/>
    <xf numFmtId="0" fontId="4" fillId="0" borderId="0" xfId="1" applyFont="1" applyAlignment="1">
      <alignment vertical="center"/>
    </xf>
    <xf numFmtId="0" fontId="4" fillId="0" borderId="0" xfId="1" applyFont="1" applyBorder="1"/>
    <xf numFmtId="0" fontId="6" fillId="0" borderId="0" xfId="1" applyFont="1" applyFill="1"/>
    <xf numFmtId="0" fontId="6" fillId="0" borderId="0" xfId="1" applyFont="1" applyFill="1" applyAlignment="1">
      <alignment vertical="center"/>
    </xf>
    <xf numFmtId="0" fontId="4" fillId="0" borderId="0" xfId="1" applyFont="1" applyFill="1"/>
    <xf numFmtId="0" fontId="4" fillId="0" borderId="0" xfId="1" applyFont="1" applyFill="1" applyAlignment="1">
      <alignment vertical="center"/>
    </xf>
    <xf numFmtId="0" fontId="13" fillId="0" borderId="0" xfId="1" applyFont="1"/>
    <xf numFmtId="164" fontId="13" fillId="0" borderId="0" xfId="2" applyFont="1" applyFill="1" applyBorder="1" applyAlignment="1" applyProtection="1"/>
    <xf numFmtId="164" fontId="13" fillId="0" borderId="0" xfId="2" applyFont="1" applyFill="1" applyBorder="1" applyAlignment="1" applyProtection="1">
      <alignment vertical="top"/>
    </xf>
    <xf numFmtId="0" fontId="4" fillId="0" borderId="0" xfId="1" applyFont="1" applyFill="1" applyAlignment="1">
      <alignment vertical="top"/>
    </xf>
    <xf numFmtId="164" fontId="6" fillId="0" borderId="0" xfId="1" applyNumberFormat="1" applyFont="1" applyFill="1" applyBorder="1"/>
    <xf numFmtId="164" fontId="6" fillId="0" borderId="0" xfId="1" applyNumberFormat="1" applyFont="1" applyFill="1" applyBorder="1" applyAlignment="1">
      <alignment horizontal="justify" vertical="top" wrapText="1"/>
    </xf>
    <xf numFmtId="164" fontId="3" fillId="0" borderId="0" xfId="1" applyNumberFormat="1" applyFont="1" applyFill="1" applyAlignment="1">
      <alignment horizontal="center" vertical="top" wrapText="1"/>
    </xf>
    <xf numFmtId="164" fontId="6" fillId="0" borderId="0" xfId="2" applyNumberFormat="1" applyFont="1" applyFill="1" applyBorder="1" applyAlignment="1" applyProtection="1"/>
    <xf numFmtId="164" fontId="7" fillId="0" borderId="0" xfId="2" applyNumberFormat="1" applyFont="1" applyFill="1" applyBorder="1" applyAlignment="1" applyProtection="1">
      <alignment horizontal="center"/>
      <protection locked="0"/>
    </xf>
    <xf numFmtId="164" fontId="8" fillId="0" borderId="0" xfId="1" applyNumberFormat="1" applyFont="1" applyFill="1" applyBorder="1" applyAlignment="1">
      <alignment horizontal="justify" vertical="top" wrapText="1"/>
    </xf>
    <xf numFmtId="164" fontId="6" fillId="0" borderId="0" xfId="2" applyNumberFormat="1" applyFont="1" applyFill="1" applyBorder="1" applyAlignment="1" applyProtection="1">
      <protection locked="0"/>
    </xf>
    <xf numFmtId="164" fontId="9" fillId="0" borderId="0" xfId="3" applyNumberFormat="1" applyFont="1" applyFill="1" applyBorder="1" applyAlignment="1" applyProtection="1"/>
    <xf numFmtId="164" fontId="9" fillId="0" borderId="0" xfId="3" applyNumberFormat="1" applyFont="1" applyFill="1" applyBorder="1" applyAlignment="1" applyProtection="1">
      <protection locked="0"/>
    </xf>
    <xf numFmtId="164" fontId="6" fillId="0" borderId="0" xfId="1" applyNumberFormat="1" applyFont="1" applyFill="1" applyBorder="1" applyAlignment="1">
      <alignment horizontal="left" vertical="top" wrapText="1"/>
    </xf>
    <xf numFmtId="164" fontId="3" fillId="0" borderId="0" xfId="1" applyNumberFormat="1" applyFont="1" applyFill="1" applyBorder="1" applyAlignment="1">
      <alignment horizontal="justify" vertical="top" wrapText="1"/>
    </xf>
    <xf numFmtId="164" fontId="3" fillId="0" borderId="1" xfId="2" applyNumberFormat="1" applyFont="1" applyFill="1" applyBorder="1" applyAlignment="1" applyProtection="1"/>
    <xf numFmtId="164" fontId="3" fillId="0" borderId="3" xfId="2" applyNumberFormat="1" applyFont="1" applyFill="1" applyBorder="1" applyAlignment="1" applyProtection="1"/>
    <xf numFmtId="164" fontId="6" fillId="0" borderId="0" xfId="5" applyNumberFormat="1" applyFont="1" applyFill="1" applyBorder="1" applyAlignment="1">
      <alignment horizontal="justify" vertical="top" wrapText="1"/>
    </xf>
    <xf numFmtId="164" fontId="3" fillId="0" borderId="1" xfId="2" applyNumberFormat="1" applyFont="1" applyFill="1" applyBorder="1" applyAlignment="1" applyProtection="1">
      <protection locked="0"/>
    </xf>
    <xf numFmtId="164" fontId="7" fillId="0" borderId="0" xfId="1" applyNumberFormat="1" applyFont="1" applyFill="1" applyBorder="1" applyAlignment="1">
      <alignment horizontal="left"/>
    </xf>
    <xf numFmtId="164" fontId="31" fillId="0" borderId="0" xfId="1" applyNumberFormat="1" applyFont="1" applyFill="1" applyBorder="1" applyAlignment="1">
      <alignment horizontal="left"/>
    </xf>
    <xf numFmtId="164" fontId="25" fillId="0" borderId="0" xfId="1" applyNumberFormat="1" applyFont="1" applyFill="1" applyBorder="1" applyAlignment="1"/>
    <xf numFmtId="164" fontId="6" fillId="0" borderId="0" xfId="1" applyNumberFormat="1" applyFont="1" applyFill="1" applyBorder="1" applyAlignment="1">
      <alignment horizontal="center"/>
    </xf>
    <xf numFmtId="164" fontId="29" fillId="0" borderId="0" xfId="2" applyNumberFormat="1" applyFont="1" applyFill="1" applyBorder="1" applyAlignment="1" applyProtection="1"/>
    <xf numFmtId="164" fontId="6" fillId="0" borderId="0" xfId="1" applyNumberFormat="1" applyFont="1" applyFill="1"/>
    <xf numFmtId="164" fontId="4" fillId="0" borderId="0" xfId="1" applyNumberFormat="1" applyFont="1" applyFill="1" applyBorder="1"/>
    <xf numFmtId="164" fontId="3" fillId="0" borderId="0" xfId="6" applyNumberFormat="1" applyFont="1" applyFill="1" applyAlignment="1">
      <alignment horizontal="center" vertical="top" wrapText="1"/>
    </xf>
    <xf numFmtId="164" fontId="6" fillId="0" borderId="0" xfId="6" applyNumberFormat="1" applyFont="1" applyFill="1" applyBorder="1" applyAlignment="1" applyProtection="1"/>
    <xf numFmtId="164" fontId="4" fillId="0" borderId="0" xfId="1" applyNumberFormat="1" applyFont="1" applyFill="1" applyBorder="1" applyAlignment="1">
      <alignment vertical="top"/>
    </xf>
    <xf numFmtId="164" fontId="3" fillId="0" borderId="1" xfId="6" applyNumberFormat="1" applyFont="1" applyFill="1" applyBorder="1" applyAlignment="1" applyProtection="1"/>
    <xf numFmtId="164" fontId="3" fillId="0" borderId="0" xfId="1" applyNumberFormat="1" applyFont="1" applyFill="1" applyBorder="1" applyAlignment="1">
      <alignment horizontal="left" vertical="top" wrapText="1"/>
    </xf>
    <xf numFmtId="164" fontId="3" fillId="0" borderId="0" xfId="6" applyNumberFormat="1" applyFont="1" applyFill="1" applyBorder="1" applyAlignment="1" applyProtection="1"/>
    <xf numFmtId="164" fontId="3" fillId="0" borderId="5" xfId="6" applyNumberFormat="1" applyFont="1" applyFill="1" applyBorder="1" applyAlignment="1" applyProtection="1"/>
    <xf numFmtId="164" fontId="26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center"/>
    </xf>
    <xf numFmtId="164" fontId="25" fillId="0" borderId="0" xfId="1" applyNumberFormat="1" applyFont="1" applyFill="1" applyAlignment="1"/>
    <xf numFmtId="164" fontId="4" fillId="0" borderId="0" xfId="6" applyNumberFormat="1" applyFont="1" applyFill="1" applyBorder="1" applyAlignment="1" applyProtection="1"/>
    <xf numFmtId="166" fontId="4" fillId="0" borderId="0" xfId="1" applyNumberFormat="1" applyFont="1" applyBorder="1"/>
    <xf numFmtId="166" fontId="6" fillId="0" borderId="0" xfId="1" applyNumberFormat="1" applyFont="1" applyBorder="1" applyAlignment="1">
      <alignment horizontal="justify" vertical="top" wrapText="1"/>
    </xf>
    <xf numFmtId="166" fontId="3" fillId="0" borderId="0" xfId="1" applyNumberFormat="1" applyFont="1" applyBorder="1" applyAlignment="1">
      <alignment horizontal="center" vertical="top" wrapText="1"/>
    </xf>
    <xf numFmtId="166" fontId="3" fillId="0" borderId="0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horizontal="center" vertical="center" wrapText="1"/>
    </xf>
    <xf numFmtId="166" fontId="3" fillId="0" borderId="0" xfId="1" applyNumberFormat="1" applyFont="1" applyBorder="1"/>
    <xf numFmtId="166" fontId="6" fillId="0" borderId="0" xfId="1" applyNumberFormat="1" applyFont="1" applyBorder="1" applyAlignment="1">
      <alignment horizontal="center" vertical="top" wrapText="1"/>
    </xf>
    <xf numFmtId="166" fontId="13" fillId="0" borderId="4" xfId="2" applyNumberFormat="1" applyFont="1" applyFill="1" applyBorder="1" applyAlignment="1" applyProtection="1">
      <alignment vertical="top"/>
    </xf>
    <xf numFmtId="166" fontId="6" fillId="0" borderId="0" xfId="1" applyNumberFormat="1" applyFont="1" applyBorder="1" applyAlignment="1"/>
    <xf numFmtId="166" fontId="13" fillId="0" borderId="2" xfId="2" applyNumberFormat="1" applyFont="1" applyFill="1" applyBorder="1" applyAlignment="1" applyProtection="1">
      <alignment vertical="top"/>
    </xf>
    <xf numFmtId="166" fontId="6" fillId="0" borderId="2" xfId="2" applyNumberFormat="1" applyFont="1" applyFill="1" applyBorder="1" applyAlignment="1" applyProtection="1">
      <alignment vertical="top"/>
    </xf>
    <xf numFmtId="166" fontId="13" fillId="0" borderId="0" xfId="2" applyNumberFormat="1" applyFont="1" applyFill="1" applyBorder="1" applyAlignment="1" applyProtection="1">
      <alignment vertical="top"/>
    </xf>
    <xf numFmtId="166" fontId="6" fillId="0" borderId="0" xfId="2" applyNumberFormat="1" applyFont="1" applyFill="1" applyBorder="1" applyAlignment="1" applyProtection="1">
      <alignment vertical="top"/>
    </xf>
    <xf numFmtId="166" fontId="6" fillId="0" borderId="0" xfId="1" applyNumberFormat="1" applyFont="1" applyBorder="1" applyAlignment="1">
      <alignment vertical="top" wrapText="1"/>
    </xf>
    <xf numFmtId="166" fontId="10" fillId="0" borderId="0" xfId="1" applyNumberFormat="1" applyFont="1" applyBorder="1" applyAlignment="1">
      <alignment horizontal="center" vertical="top" wrapText="1"/>
    </xf>
    <xf numFmtId="166" fontId="14" fillId="0" borderId="3" xfId="2" applyNumberFormat="1" applyFont="1" applyFill="1" applyBorder="1" applyAlignment="1" applyProtection="1">
      <alignment vertical="top"/>
    </xf>
    <xf numFmtId="166" fontId="26" fillId="0" borderId="0" xfId="1" applyNumberFormat="1" applyFont="1" applyBorder="1"/>
    <xf numFmtId="166" fontId="6" fillId="0" borderId="0" xfId="2" applyNumberFormat="1" applyFont="1" applyFill="1" applyBorder="1" applyAlignment="1" applyProtection="1"/>
    <xf numFmtId="166" fontId="4" fillId="0" borderId="0" xfId="1" applyNumberFormat="1" applyFont="1" applyBorder="1" applyAlignment="1">
      <alignment horizontal="center"/>
    </xf>
    <xf numFmtId="166" fontId="4" fillId="0" borderId="0" xfId="2" applyNumberFormat="1" applyFont="1" applyFill="1" applyBorder="1" applyAlignment="1" applyProtection="1"/>
    <xf numFmtId="166" fontId="25" fillId="0" borderId="0" xfId="1" applyNumberFormat="1" applyFont="1" applyBorder="1" applyAlignment="1"/>
    <xf numFmtId="166" fontId="25" fillId="0" borderId="0" xfId="1" applyNumberFormat="1" applyFont="1" applyAlignment="1"/>
    <xf numFmtId="164" fontId="13" fillId="0" borderId="0" xfId="1" applyNumberFormat="1" applyFont="1" applyBorder="1"/>
    <xf numFmtId="164" fontId="13" fillId="0" borderId="0" xfId="1" applyNumberFormat="1" applyFont="1" applyBorder="1" applyAlignment="1">
      <alignment horizontal="justify" vertical="top" wrapText="1"/>
    </xf>
    <xf numFmtId="164" fontId="14" fillId="0" borderId="0" xfId="1" applyNumberFormat="1" applyFont="1" applyBorder="1" applyAlignment="1">
      <alignment horizontal="center" vertical="top" wrapText="1"/>
    </xf>
    <xf numFmtId="164" fontId="14" fillId="0" borderId="0" xfId="1" applyNumberFormat="1" applyFont="1" applyBorder="1"/>
    <xf numFmtId="164" fontId="13" fillId="0" borderId="0" xfId="2" applyNumberFormat="1" applyFont="1" applyFill="1" applyBorder="1" applyAlignment="1" applyProtection="1"/>
    <xf numFmtId="164" fontId="13" fillId="0" borderId="0" xfId="6" applyNumberFormat="1" applyFont="1" applyFill="1" applyBorder="1" applyAlignment="1" applyProtection="1"/>
    <xf numFmtId="164" fontId="14" fillId="0" borderId="1" xfId="6" applyNumberFormat="1" applyFont="1" applyFill="1" applyBorder="1" applyAlignment="1" applyProtection="1"/>
    <xf numFmtId="164" fontId="13" fillId="0" borderId="0" xfId="1" applyNumberFormat="1" applyFont="1" applyBorder="1" applyAlignment="1">
      <alignment vertical="top" wrapText="1"/>
    </xf>
    <xf numFmtId="164" fontId="28" fillId="0" borderId="0" xfId="1" applyNumberFormat="1" applyFont="1" applyBorder="1" applyAlignment="1">
      <alignment horizontal="left" vertical="top" wrapText="1"/>
    </xf>
    <xf numFmtId="164" fontId="13" fillId="0" borderId="0" xfId="1" applyNumberFormat="1" applyFont="1" applyBorder="1" applyAlignment="1">
      <alignment horizontal="left" vertical="top" wrapText="1"/>
    </xf>
    <xf numFmtId="164" fontId="13" fillId="0" borderId="0" xfId="6" applyNumberFormat="1" applyFont="1" applyFill="1" applyBorder="1" applyAlignment="1" applyProtection="1">
      <alignment vertical="top"/>
    </xf>
    <xf numFmtId="164" fontId="14" fillId="0" borderId="0" xfId="1" applyNumberFormat="1" applyFont="1" applyBorder="1" applyAlignment="1">
      <alignment vertical="top" wrapText="1"/>
    </xf>
    <xf numFmtId="164" fontId="14" fillId="0" borderId="0" xfId="6" applyNumberFormat="1" applyFont="1" applyFill="1" applyBorder="1" applyAlignment="1" applyProtection="1"/>
    <xf numFmtId="164" fontId="14" fillId="0" borderId="0" xfId="1" applyNumberFormat="1" applyFont="1" applyBorder="1" applyAlignment="1">
      <alignment horizontal="left" vertical="top" wrapText="1"/>
    </xf>
    <xf numFmtId="164" fontId="13" fillId="0" borderId="1" xfId="6" applyNumberFormat="1" applyFont="1" applyFill="1" applyBorder="1" applyAlignment="1" applyProtection="1"/>
    <xf numFmtId="164" fontId="13" fillId="0" borderId="0" xfId="1" applyNumberFormat="1" applyFont="1" applyBorder="1" applyAlignment="1">
      <alignment horizontal="center"/>
    </xf>
    <xf numFmtId="164" fontId="14" fillId="0" borderId="5" xfId="6" applyNumberFormat="1" applyFont="1" applyFill="1" applyBorder="1" applyAlignment="1" applyProtection="1"/>
    <xf numFmtId="164" fontId="26" fillId="0" borderId="0" xfId="1" applyNumberFormat="1" applyFont="1" applyBorder="1"/>
    <xf numFmtId="164" fontId="24" fillId="0" borderId="0" xfId="39" applyNumberFormat="1" applyFont="1"/>
    <xf numFmtId="164" fontId="23" fillId="0" borderId="0" xfId="39" applyNumberFormat="1" applyFont="1"/>
    <xf numFmtId="164" fontId="24" fillId="0" borderId="1" xfId="39" applyNumberFormat="1" applyFont="1" applyBorder="1"/>
    <xf numFmtId="164" fontId="30" fillId="0" borderId="0" xfId="39" applyNumberFormat="1" applyFont="1"/>
    <xf numFmtId="164" fontId="23" fillId="0" borderId="1" xfId="39" applyNumberFormat="1" applyFont="1" applyBorder="1"/>
    <xf numFmtId="164" fontId="24" fillId="0" borderId="5" xfId="39" applyNumberFormat="1" applyFont="1" applyBorder="1"/>
    <xf numFmtId="164" fontId="23" fillId="0" borderId="5" xfId="39" applyNumberFormat="1" applyFont="1" applyBorder="1"/>
    <xf numFmtId="164" fontId="6" fillId="0" borderId="0" xfId="1" applyNumberFormat="1" applyFont="1" applyFill="1" applyBorder="1" applyAlignment="1">
      <alignment horizontal="left" vertical="top" wrapText="1"/>
    </xf>
    <xf numFmtId="0" fontId="3" fillId="0" borderId="0" xfId="1" applyNumberFormat="1" applyFont="1" applyFill="1" applyBorder="1" applyAlignment="1">
      <alignment horizontal="center" vertical="top" wrapText="1"/>
    </xf>
    <xf numFmtId="0" fontId="3" fillId="0" borderId="0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justify" vertical="top" wrapText="1"/>
    </xf>
    <xf numFmtId="0" fontId="6" fillId="0" borderId="0" xfId="1" applyNumberFormat="1" applyFont="1" applyFill="1" applyBorder="1" applyAlignment="1">
      <alignment horizontal="center" vertical="top" wrapText="1"/>
    </xf>
    <xf numFmtId="0" fontId="6" fillId="0" borderId="0" xfId="1" quotePrefix="1" applyNumberFormat="1" applyFont="1" applyFill="1" applyBorder="1" applyAlignment="1">
      <alignment horizontal="center" vertical="top" wrapText="1"/>
    </xf>
    <xf numFmtId="0" fontId="10" fillId="0" borderId="0" xfId="1" applyNumberFormat="1" applyFont="1" applyFill="1" applyBorder="1" applyAlignment="1">
      <alignment horizontal="center" vertical="top" wrapText="1"/>
    </xf>
    <xf numFmtId="0" fontId="6" fillId="0" borderId="0" xfId="1" applyNumberFormat="1" applyFont="1" applyFill="1" applyBorder="1" applyAlignment="1">
      <alignment horizontal="center" vertical="top"/>
    </xf>
    <xf numFmtId="0" fontId="7" fillId="0" borderId="0" xfId="1" applyNumberFormat="1" applyFont="1" applyFill="1" applyBorder="1" applyAlignment="1">
      <alignment horizontal="left"/>
    </xf>
    <xf numFmtId="0" fontId="25" fillId="0" borderId="0" xfId="1" applyNumberFormat="1" applyFont="1" applyFill="1" applyBorder="1" applyAlignment="1"/>
    <xf numFmtId="0" fontId="6" fillId="0" borderId="0" xfId="2" applyNumberFormat="1" applyFont="1" applyFill="1" applyBorder="1" applyAlignment="1" applyProtection="1"/>
    <xf numFmtId="0" fontId="4" fillId="0" borderId="0" xfId="2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>
      <alignment horizontal="center" vertical="top" wrapText="1"/>
    </xf>
    <xf numFmtId="164" fontId="14" fillId="0" borderId="0" xfId="1" applyNumberFormat="1" applyFont="1" applyFill="1" applyAlignment="1"/>
    <xf numFmtId="164" fontId="23" fillId="0" borderId="0" xfId="6" applyFont="1" applyFill="1" applyBorder="1" applyAlignment="1">
      <alignment horizontal="center"/>
    </xf>
    <xf numFmtId="165" fontId="23" fillId="0" borderId="0" xfId="6" applyNumberFormat="1" applyFont="1"/>
    <xf numFmtId="164" fontId="24" fillId="0" borderId="2" xfId="6" applyFont="1" applyFill="1" applyBorder="1" applyAlignment="1">
      <alignment horizontal="center" vertical="center"/>
    </xf>
    <xf numFmtId="164" fontId="23" fillId="0" borderId="0" xfId="6" applyFont="1" applyFill="1" applyBorder="1" applyAlignment="1"/>
    <xf numFmtId="164" fontId="24" fillId="0" borderId="1" xfId="6" applyFont="1" applyFill="1" applyBorder="1" applyAlignment="1">
      <alignment horizontal="center"/>
    </xf>
    <xf numFmtId="164" fontId="24" fillId="0" borderId="0" xfId="6" applyFont="1" applyFill="1" applyBorder="1" applyAlignment="1">
      <alignment horizontal="center"/>
    </xf>
    <xf numFmtId="165" fontId="24" fillId="0" borderId="0" xfId="6" applyNumberFormat="1" applyFont="1"/>
    <xf numFmtId="0" fontId="24" fillId="0" borderId="0" xfId="0" applyFont="1"/>
    <xf numFmtId="0" fontId="23" fillId="0" borderId="0" xfId="0" applyFont="1"/>
    <xf numFmtId="49" fontId="23" fillId="0" borderId="0" xfId="0" applyNumberFormat="1" applyFont="1"/>
    <xf numFmtId="164" fontId="23" fillId="0" borderId="0" xfId="0" applyNumberFormat="1" applyFont="1" applyAlignment="1">
      <alignment horizontal="center"/>
    </xf>
    <xf numFmtId="164" fontId="23" fillId="0" borderId="0" xfId="0" applyNumberFormat="1" applyFont="1"/>
    <xf numFmtId="0" fontId="24" fillId="0" borderId="7" xfId="0" applyFont="1" applyBorder="1"/>
    <xf numFmtId="49" fontId="24" fillId="0" borderId="7" xfId="0" applyNumberFormat="1" applyFont="1" applyBorder="1"/>
    <xf numFmtId="164" fontId="24" fillId="0" borderId="7" xfId="0" applyNumberFormat="1" applyFont="1" applyBorder="1" applyAlignment="1">
      <alignment horizontal="center"/>
    </xf>
    <xf numFmtId="164" fontId="24" fillId="0" borderId="5" xfId="6" applyFont="1" applyFill="1" applyBorder="1" applyAlignment="1">
      <alignment horizontal="center"/>
    </xf>
    <xf numFmtId="164" fontId="23" fillId="0" borderId="0" xfId="6" applyFont="1" applyFill="1" applyBorder="1"/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2" xfId="2" applyNumberFormat="1" applyFont="1" applyFill="1" applyBorder="1" applyAlignment="1" applyProtection="1">
      <alignment horizontal="center" vertical="center" wrapText="1"/>
    </xf>
    <xf numFmtId="0" fontId="14" fillId="0" borderId="2" xfId="1" applyNumberFormat="1" applyFont="1" applyBorder="1" applyAlignment="1">
      <alignment horizontal="center" vertical="center" wrapText="1"/>
    </xf>
    <xf numFmtId="43" fontId="23" fillId="0" borderId="0" xfId="39" applyNumberFormat="1" applyFont="1"/>
    <xf numFmtId="164" fontId="23" fillId="0" borderId="0" xfId="6" applyFont="1" applyAlignment="1">
      <alignment horizontal="center"/>
    </xf>
    <xf numFmtId="0" fontId="6" fillId="0" borderId="0" xfId="1" applyNumberFormat="1" applyFont="1" applyFill="1" applyBorder="1" applyAlignment="1">
      <alignment horizontal="center" vertical="top" wrapText="1"/>
    </xf>
    <xf numFmtId="164" fontId="9" fillId="0" borderId="0" xfId="3" applyNumberFormat="1" applyFont="1" applyFill="1" applyBorder="1" applyAlignment="1" applyProtection="1">
      <alignment vertical="top"/>
    </xf>
    <xf numFmtId="164" fontId="9" fillId="0" borderId="0" xfId="3" applyNumberFormat="1" applyFont="1" applyFill="1" applyBorder="1" applyAlignment="1" applyProtection="1">
      <alignment vertical="top"/>
      <protection locked="0"/>
    </xf>
    <xf numFmtId="164" fontId="6" fillId="0" borderId="0" xfId="6" applyNumberFormat="1" applyFont="1" applyFill="1" applyBorder="1" applyAlignment="1" applyProtection="1">
      <alignment vertical="top"/>
    </xf>
    <xf numFmtId="166" fontId="14" fillId="0" borderId="0" xfId="2" applyNumberFormat="1" applyFont="1" applyFill="1" applyBorder="1" applyAlignment="1" applyProtection="1">
      <alignment vertical="top"/>
    </xf>
    <xf numFmtId="164" fontId="3" fillId="0" borderId="0" xfId="1" applyNumberFormat="1" applyFont="1" applyFill="1" applyBorder="1" applyAlignment="1">
      <alignment horizontal="left" vertical="top" wrapText="1"/>
    </xf>
    <xf numFmtId="164" fontId="6" fillId="0" borderId="0" xfId="1" applyNumberFormat="1" applyFont="1" applyFill="1" applyBorder="1" applyAlignment="1">
      <alignment horizontal="left" vertical="top" wrapText="1"/>
    </xf>
    <xf numFmtId="49" fontId="6" fillId="0" borderId="0" xfId="1" applyNumberFormat="1" applyFont="1" applyBorder="1" applyAlignment="1">
      <alignment horizontal="center" vertical="top" wrapText="1"/>
    </xf>
    <xf numFmtId="164" fontId="14" fillId="0" borderId="0" xfId="1" applyNumberFormat="1" applyFont="1" applyBorder="1" applyAlignment="1">
      <alignment horizontal="left" vertical="top" wrapText="1"/>
    </xf>
    <xf numFmtId="164" fontId="13" fillId="0" borderId="0" xfId="1" applyNumberFormat="1" applyFont="1" applyBorder="1" applyAlignment="1">
      <alignment horizontal="left" vertical="top" wrapText="1"/>
    </xf>
    <xf numFmtId="164" fontId="28" fillId="0" borderId="0" xfId="1" applyNumberFormat="1" applyFont="1" applyBorder="1" applyAlignment="1">
      <alignment horizontal="left" vertical="top" wrapText="1"/>
    </xf>
    <xf numFmtId="49" fontId="1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left" vertical="top" wrapText="1"/>
    </xf>
    <xf numFmtId="164" fontId="26" fillId="0" borderId="0" xfId="1" applyNumberFormat="1" applyFont="1" applyFill="1" applyBorder="1" applyAlignment="1">
      <alignment horizontal="left"/>
    </xf>
    <xf numFmtId="164" fontId="26" fillId="0" borderId="6" xfId="1" applyNumberFormat="1" applyFont="1" applyFill="1" applyBorder="1" applyAlignment="1">
      <alignment horizontal="left"/>
    </xf>
    <xf numFmtId="164" fontId="3" fillId="0" borderId="0" xfId="1" applyNumberFormat="1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164" fontId="6" fillId="0" borderId="0" xfId="1" applyNumberFormat="1" applyFont="1" applyFill="1" applyBorder="1" applyAlignment="1">
      <alignment horizontal="left" vertical="top" wrapText="1"/>
    </xf>
    <xf numFmtId="164" fontId="3" fillId="0" borderId="0" xfId="1" applyNumberFormat="1" applyFont="1" applyFill="1" applyBorder="1" applyAlignment="1">
      <alignment horizontal="left" wrapText="1"/>
    </xf>
    <xf numFmtId="0" fontId="6" fillId="0" borderId="0" xfId="1" applyNumberFormat="1" applyFont="1" applyFill="1" applyBorder="1" applyAlignment="1">
      <alignment horizontal="center" vertical="top" wrapText="1"/>
    </xf>
    <xf numFmtId="164" fontId="8" fillId="0" borderId="0" xfId="1" applyNumberFormat="1" applyFont="1" applyFill="1" applyBorder="1" applyAlignment="1">
      <alignment horizontal="left" vertical="top" wrapText="1"/>
    </xf>
    <xf numFmtId="164" fontId="3" fillId="0" borderId="0" xfId="1" applyNumberFormat="1" applyFont="1" applyFill="1" applyBorder="1" applyAlignment="1">
      <alignment horizontal="left" vertical="top"/>
    </xf>
    <xf numFmtId="166" fontId="3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166" fontId="3" fillId="0" borderId="0" xfId="1" applyNumberFormat="1" applyFont="1" applyBorder="1" applyAlignment="1">
      <alignment horizontal="left" vertical="top" wrapText="1"/>
    </xf>
    <xf numFmtId="166" fontId="6" fillId="0" borderId="0" xfId="1" applyNumberFormat="1" applyFont="1" applyBorder="1" applyAlignment="1">
      <alignment horizontal="left" vertical="top" wrapText="1"/>
    </xf>
    <xf numFmtId="164" fontId="14" fillId="0" borderId="0" xfId="1" applyNumberFormat="1" applyFont="1" applyBorder="1" applyAlignment="1">
      <alignment horizontal="left" vertical="top" wrapText="1"/>
    </xf>
    <xf numFmtId="164" fontId="14" fillId="0" borderId="0" xfId="1" applyNumberFormat="1" applyFont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164" fontId="27" fillId="0" borderId="0" xfId="1" applyNumberFormat="1" applyFont="1" applyAlignment="1">
      <alignment horizontal="center" vertical="center"/>
    </xf>
    <xf numFmtId="164" fontId="13" fillId="0" borderId="0" xfId="1" applyNumberFormat="1" applyFont="1" applyBorder="1" applyAlignment="1">
      <alignment horizontal="left" vertical="top" wrapText="1"/>
    </xf>
    <xf numFmtId="164" fontId="28" fillId="0" borderId="0" xfId="1" applyNumberFormat="1" applyFont="1" applyBorder="1" applyAlignment="1">
      <alignment horizontal="left" vertical="top" wrapText="1"/>
    </xf>
    <xf numFmtId="164" fontId="23" fillId="0" borderId="0" xfId="39" applyNumberFormat="1" applyFont="1" applyAlignment="1">
      <alignment horizontal="center"/>
    </xf>
    <xf numFmtId="164" fontId="22" fillId="0" borderId="0" xfId="39" applyNumberFormat="1" applyFont="1" applyAlignment="1">
      <alignment horizontal="center"/>
    </xf>
    <xf numFmtId="164" fontId="9" fillId="0" borderId="0" xfId="39" applyNumberFormat="1" applyFont="1" applyAlignment="1">
      <alignment horizontal="center"/>
    </xf>
    <xf numFmtId="164" fontId="24" fillId="0" borderId="4" xfId="39" applyNumberFormat="1" applyFont="1" applyBorder="1" applyAlignment="1">
      <alignment horizontal="center" vertical="center" wrapText="1"/>
    </xf>
    <xf numFmtId="164" fontId="24" fillId="0" borderId="2" xfId="39" applyNumberFormat="1" applyFont="1" applyBorder="1" applyAlignment="1">
      <alignment horizontal="center" vertical="center" wrapText="1"/>
    </xf>
    <xf numFmtId="164" fontId="24" fillId="0" borderId="4" xfId="6" applyFont="1" applyFill="1" applyBorder="1" applyAlignment="1">
      <alignment horizontal="center" vertical="center"/>
    </xf>
    <xf numFmtId="164" fontId="24" fillId="0" borderId="4" xfId="6" applyFont="1" applyFill="1" applyBorder="1" applyAlignment="1">
      <alignment horizontal="center" vertical="center" wrapText="1"/>
    </xf>
    <xf numFmtId="164" fontId="24" fillId="0" borderId="2" xfId="6" applyFont="1" applyFill="1" applyBorder="1" applyAlignment="1">
      <alignment horizontal="center" vertical="center" wrapText="1"/>
    </xf>
  </cellXfs>
  <cellStyles count="68">
    <cellStyle name="Comma" xfId="6" builtinId="3"/>
    <cellStyle name="Comma 10" xfId="12" xr:uid="{00000000-0005-0000-0000-000001000000}"/>
    <cellStyle name="Comma 11" xfId="13" xr:uid="{00000000-0005-0000-0000-000002000000}"/>
    <cellStyle name="Comma 11 2" xfId="14" xr:uid="{00000000-0005-0000-0000-000003000000}"/>
    <cellStyle name="Comma 12" xfId="15" xr:uid="{00000000-0005-0000-0000-000004000000}"/>
    <cellStyle name="Comma 13" xfId="16" xr:uid="{00000000-0005-0000-0000-000005000000}"/>
    <cellStyle name="Comma 14" xfId="8" xr:uid="{00000000-0005-0000-0000-000006000000}"/>
    <cellStyle name="Comma 2" xfId="10" xr:uid="{00000000-0005-0000-0000-000007000000}"/>
    <cellStyle name="Comma 2 10" xfId="9" xr:uid="{00000000-0005-0000-0000-000008000000}"/>
    <cellStyle name="Comma 2 10 2" xfId="3" xr:uid="{00000000-0005-0000-0000-000009000000}"/>
    <cellStyle name="Comma 2 2" xfId="11" xr:uid="{00000000-0005-0000-0000-00000A000000}"/>
    <cellStyle name="Comma 2 2 2" xfId="17" xr:uid="{00000000-0005-0000-0000-00000B000000}"/>
    <cellStyle name="Comma 2 3" xfId="18" xr:uid="{00000000-0005-0000-0000-00000C000000}"/>
    <cellStyle name="Comma 2 4" xfId="19" xr:uid="{00000000-0005-0000-0000-00000D000000}"/>
    <cellStyle name="Comma 2 4 2" xfId="20" xr:uid="{00000000-0005-0000-0000-00000E000000}"/>
    <cellStyle name="Comma 2 5" xfId="21" xr:uid="{00000000-0005-0000-0000-00000F000000}"/>
    <cellStyle name="Comma 2 6" xfId="22" xr:uid="{00000000-0005-0000-0000-000010000000}"/>
    <cellStyle name="Comma 2 7" xfId="23" xr:uid="{00000000-0005-0000-0000-000011000000}"/>
    <cellStyle name="Comma 2 8" xfId="24" xr:uid="{00000000-0005-0000-0000-000012000000}"/>
    <cellStyle name="Comma 2 9" xfId="25" xr:uid="{00000000-0005-0000-0000-000013000000}"/>
    <cellStyle name="Comma 3" xfId="26" xr:uid="{00000000-0005-0000-0000-000014000000}"/>
    <cellStyle name="Comma 3 2" xfId="27" xr:uid="{00000000-0005-0000-0000-000015000000}"/>
    <cellStyle name="Comma 4" xfId="28" xr:uid="{00000000-0005-0000-0000-000016000000}"/>
    <cellStyle name="Comma 5" xfId="2" xr:uid="{00000000-0005-0000-0000-000017000000}"/>
    <cellStyle name="Comma 6" xfId="29" xr:uid="{00000000-0005-0000-0000-000018000000}"/>
    <cellStyle name="Comma 7" xfId="30" xr:uid="{00000000-0005-0000-0000-000019000000}"/>
    <cellStyle name="Comma 8" xfId="31" xr:uid="{00000000-0005-0000-0000-00001A000000}"/>
    <cellStyle name="Comma 9" xfId="32" xr:uid="{00000000-0005-0000-0000-00001B000000}"/>
    <cellStyle name="Hyperlink 2" xfId="33" xr:uid="{00000000-0005-0000-0000-00001C000000}"/>
    <cellStyle name="Normal" xfId="0" builtinId="0"/>
    <cellStyle name="Normal 10" xfId="1" xr:uid="{00000000-0005-0000-0000-00001E000000}"/>
    <cellStyle name="Normal 11" xfId="34" xr:uid="{00000000-0005-0000-0000-00001F000000}"/>
    <cellStyle name="Normal 12" xfId="35" xr:uid="{00000000-0005-0000-0000-000020000000}"/>
    <cellStyle name="Normal 13" xfId="67" xr:uid="{00000000-0005-0000-0000-000021000000}"/>
    <cellStyle name="Normal 2" xfId="4" xr:uid="{00000000-0005-0000-0000-000022000000}"/>
    <cellStyle name="Normal 2 2" xfId="36" xr:uid="{00000000-0005-0000-0000-000023000000}"/>
    <cellStyle name="Normal 2 2 2" xfId="37" xr:uid="{00000000-0005-0000-0000-000024000000}"/>
    <cellStyle name="Normal 2 2 2 2" xfId="38" xr:uid="{00000000-0005-0000-0000-000025000000}"/>
    <cellStyle name="Normal 2 2 3" xfId="39" xr:uid="{00000000-0005-0000-0000-000026000000}"/>
    <cellStyle name="Normal 2 3" xfId="40" xr:uid="{00000000-0005-0000-0000-000027000000}"/>
    <cellStyle name="Normal 2 3 2" xfId="5" xr:uid="{00000000-0005-0000-0000-000028000000}"/>
    <cellStyle name="Normal 2 4" xfId="41" xr:uid="{00000000-0005-0000-0000-000029000000}"/>
    <cellStyle name="Normal 2 5" xfId="42" xr:uid="{00000000-0005-0000-0000-00002A000000}"/>
    <cellStyle name="Normal 2 6" xfId="43" xr:uid="{00000000-0005-0000-0000-00002B000000}"/>
    <cellStyle name="Normal 2 7" xfId="44" xr:uid="{00000000-0005-0000-0000-00002C000000}"/>
    <cellStyle name="Normal 2 9" xfId="45" xr:uid="{00000000-0005-0000-0000-00002D000000}"/>
    <cellStyle name="Normal 2_251" xfId="46" xr:uid="{00000000-0005-0000-0000-00002E000000}"/>
    <cellStyle name="Normal 3" xfId="47" xr:uid="{00000000-0005-0000-0000-00002F000000}"/>
    <cellStyle name="Normal 3 2" xfId="48" xr:uid="{00000000-0005-0000-0000-000030000000}"/>
    <cellStyle name="Normal 3 2 2" xfId="49" xr:uid="{00000000-0005-0000-0000-000031000000}"/>
    <cellStyle name="Normal 3 3" xfId="50" xr:uid="{00000000-0005-0000-0000-000032000000}"/>
    <cellStyle name="Normal 4" xfId="7" xr:uid="{00000000-0005-0000-0000-000033000000}"/>
    <cellStyle name="Normal 4 2" xfId="51" xr:uid="{00000000-0005-0000-0000-000034000000}"/>
    <cellStyle name="Normal 4 2 2" xfId="52" xr:uid="{00000000-0005-0000-0000-000035000000}"/>
    <cellStyle name="Normal 4 3" xfId="53" xr:uid="{00000000-0005-0000-0000-000036000000}"/>
    <cellStyle name="Normal 4 4" xfId="54" xr:uid="{00000000-0005-0000-0000-000037000000}"/>
    <cellStyle name="Normal 4 5" xfId="55" xr:uid="{00000000-0005-0000-0000-000038000000}"/>
    <cellStyle name="Normal 4 6" xfId="56" xr:uid="{00000000-0005-0000-0000-000039000000}"/>
    <cellStyle name="Normal 4 6 2" xfId="57" xr:uid="{00000000-0005-0000-0000-00003A000000}"/>
    <cellStyle name="Normal 4 7" xfId="58" xr:uid="{00000000-0005-0000-0000-00003B000000}"/>
    <cellStyle name="Normal 4_251" xfId="59" xr:uid="{00000000-0005-0000-0000-00003C000000}"/>
    <cellStyle name="Normal 5" xfId="60" xr:uid="{00000000-0005-0000-0000-00003D000000}"/>
    <cellStyle name="Normal 5 2" xfId="61" xr:uid="{00000000-0005-0000-0000-00003E000000}"/>
    <cellStyle name="Normal 6" xfId="62" xr:uid="{00000000-0005-0000-0000-00003F000000}"/>
    <cellStyle name="Normal 7" xfId="63" xr:uid="{00000000-0005-0000-0000-000040000000}"/>
    <cellStyle name="Normal 7 2" xfId="64" xr:uid="{00000000-0005-0000-0000-000041000000}"/>
    <cellStyle name="Normal 8" xfId="65" xr:uid="{00000000-0005-0000-0000-000042000000}"/>
    <cellStyle name="Normal 9" xfId="66" xr:uid="{00000000-0005-0000-0000-00004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showGridLines="0" tabSelected="1" topLeftCell="B1" zoomScaleNormal="100" workbookViewId="0">
      <selection sqref="A1:E1"/>
    </sheetView>
  </sheetViews>
  <sheetFormatPr defaultColWidth="11.44140625" defaultRowHeight="15.6"/>
  <cols>
    <col min="1" max="1" width="3.33203125" style="14" hidden="1" customWidth="1"/>
    <col min="2" max="2" width="32.5546875" style="32" customWidth="1"/>
    <col min="3" max="3" width="7.5546875" style="104" bestFit="1" customWidth="1"/>
    <col min="4" max="5" width="19.88671875" style="17" bestFit="1" customWidth="1"/>
    <col min="6" max="16384" width="11.44140625" style="6"/>
  </cols>
  <sheetData>
    <row r="1" spans="1:5">
      <c r="A1" s="146" t="s">
        <v>0</v>
      </c>
      <c r="B1" s="146"/>
      <c r="C1" s="146"/>
      <c r="D1" s="146"/>
      <c r="E1" s="146"/>
    </row>
    <row r="2" spans="1:5">
      <c r="A2" s="146" t="s">
        <v>113</v>
      </c>
      <c r="B2" s="146"/>
      <c r="C2" s="146"/>
      <c r="D2" s="146"/>
      <c r="E2" s="146"/>
    </row>
    <row r="3" spans="1:5">
      <c r="A3" s="147" t="s">
        <v>129</v>
      </c>
      <c r="B3" s="147"/>
      <c r="C3" s="147"/>
      <c r="D3" s="147"/>
      <c r="E3" s="147"/>
    </row>
    <row r="4" spans="1:5">
      <c r="A4" s="148" t="s">
        <v>130</v>
      </c>
      <c r="B4" s="148"/>
      <c r="C4" s="148"/>
      <c r="D4" s="148"/>
      <c r="E4" s="148"/>
    </row>
    <row r="5" spans="1:5" ht="14.25" customHeight="1">
      <c r="B5" s="15"/>
      <c r="C5" s="95"/>
      <c r="D5" s="16"/>
      <c r="E5" s="16"/>
    </row>
    <row r="6" spans="1:5" s="7" customFormat="1">
      <c r="A6" s="142"/>
      <c r="B6" s="142"/>
      <c r="C6" s="96" t="s">
        <v>1</v>
      </c>
      <c r="D6" s="125">
        <v>2021</v>
      </c>
      <c r="E6" s="126">
        <v>2020</v>
      </c>
    </row>
    <row r="7" spans="1:5">
      <c r="A7" s="143" t="s">
        <v>2</v>
      </c>
      <c r="B7" s="143"/>
      <c r="C7" s="97"/>
      <c r="E7" s="18"/>
    </row>
    <row r="8" spans="1:5" ht="16.2">
      <c r="B8" s="19" t="s">
        <v>3</v>
      </c>
      <c r="C8" s="97"/>
      <c r="E8" s="20"/>
    </row>
    <row r="9" spans="1:5">
      <c r="B9" s="15" t="s">
        <v>4</v>
      </c>
      <c r="C9" s="98">
        <v>4</v>
      </c>
      <c r="D9" s="21">
        <v>10864914036.530001</v>
      </c>
      <c r="E9" s="22">
        <v>16293107450.66</v>
      </c>
    </row>
    <row r="10" spans="1:5">
      <c r="B10" s="15" t="s">
        <v>5</v>
      </c>
      <c r="C10" s="98">
        <v>5</v>
      </c>
      <c r="D10" s="21">
        <v>1423914449.9099998</v>
      </c>
      <c r="E10" s="22">
        <v>1414559488.4599998</v>
      </c>
    </row>
    <row r="11" spans="1:5">
      <c r="B11" s="15" t="s">
        <v>6</v>
      </c>
      <c r="C11" s="99">
        <v>6</v>
      </c>
      <c r="D11" s="21">
        <v>13847608732.810001</v>
      </c>
      <c r="E11" s="22">
        <v>11376713619.400003</v>
      </c>
    </row>
    <row r="12" spans="1:5">
      <c r="B12" s="15" t="s">
        <v>7</v>
      </c>
      <c r="C12" s="98">
        <v>7</v>
      </c>
      <c r="D12" s="21">
        <v>702841112.9000001</v>
      </c>
      <c r="E12" s="22">
        <v>1172794229.6900005</v>
      </c>
    </row>
    <row r="13" spans="1:5" ht="15.75" customHeight="1">
      <c r="B13" s="23" t="s">
        <v>8</v>
      </c>
      <c r="C13" s="98">
        <v>8</v>
      </c>
      <c r="D13" s="131">
        <v>1375976264.1599998</v>
      </c>
      <c r="E13" s="132">
        <v>851050839.04000008</v>
      </c>
    </row>
    <row r="14" spans="1:5">
      <c r="B14" s="24" t="s">
        <v>9</v>
      </c>
      <c r="C14" s="100"/>
      <c r="D14" s="25">
        <v>28215254596.310001</v>
      </c>
      <c r="E14" s="25">
        <v>31108225627.250008</v>
      </c>
    </row>
    <row r="15" spans="1:5" ht="11.25" customHeight="1">
      <c r="B15" s="15"/>
      <c r="C15" s="97"/>
      <c r="E15" s="20"/>
    </row>
    <row r="16" spans="1:5" ht="16.2">
      <c r="B16" s="19" t="s">
        <v>10</v>
      </c>
      <c r="C16" s="97"/>
      <c r="E16" s="20"/>
    </row>
    <row r="17" spans="1:5">
      <c r="B17" s="15" t="s">
        <v>11</v>
      </c>
      <c r="C17" s="98">
        <v>9</v>
      </c>
      <c r="D17" s="21">
        <v>248912041.84999999</v>
      </c>
      <c r="E17" s="21">
        <v>248912041.84999999</v>
      </c>
    </row>
    <row r="18" spans="1:5">
      <c r="B18" s="15" t="s">
        <v>12</v>
      </c>
      <c r="C18" s="101">
        <v>10</v>
      </c>
      <c r="D18" s="21">
        <v>33947131386.280006</v>
      </c>
      <c r="E18" s="21">
        <v>28566717446.840004</v>
      </c>
    </row>
    <row r="19" spans="1:5">
      <c r="B19" s="15" t="s">
        <v>133</v>
      </c>
      <c r="C19" s="101">
        <v>11</v>
      </c>
      <c r="D19" s="21">
        <v>131574000</v>
      </c>
      <c r="E19" s="21">
        <v>0</v>
      </c>
    </row>
    <row r="20" spans="1:5">
      <c r="B20" s="24" t="s">
        <v>13</v>
      </c>
      <c r="C20" s="100"/>
      <c r="D20" s="25">
        <v>34327617428.130005</v>
      </c>
      <c r="E20" s="25">
        <v>28815629488.690002</v>
      </c>
    </row>
    <row r="21" spans="1:5" ht="11.25" customHeight="1">
      <c r="B21" s="15"/>
      <c r="C21" s="95"/>
      <c r="E21" s="20"/>
    </row>
    <row r="22" spans="1:5" ht="16.2" thickBot="1">
      <c r="A22" s="143" t="s">
        <v>14</v>
      </c>
      <c r="B22" s="143"/>
      <c r="C22" s="100"/>
      <c r="D22" s="26">
        <v>62542872024.440002</v>
      </c>
      <c r="E22" s="26">
        <v>59923855115.94001</v>
      </c>
    </row>
    <row r="23" spans="1:5" ht="11.25" customHeight="1" thickTop="1">
      <c r="B23" s="15"/>
      <c r="C23" s="98"/>
      <c r="E23" s="20"/>
    </row>
    <row r="24" spans="1:5">
      <c r="A24" s="143" t="s">
        <v>15</v>
      </c>
      <c r="B24" s="143"/>
      <c r="C24" s="98"/>
      <c r="E24" s="20"/>
    </row>
    <row r="25" spans="1:5" ht="16.2">
      <c r="B25" s="19" t="s">
        <v>16</v>
      </c>
      <c r="C25" s="98"/>
      <c r="E25" s="20"/>
    </row>
    <row r="26" spans="1:5">
      <c r="B26" s="15" t="s">
        <v>17</v>
      </c>
      <c r="C26" s="98">
        <v>12</v>
      </c>
      <c r="D26" s="21">
        <v>6302961012.8800001</v>
      </c>
      <c r="E26" s="21">
        <v>6560066976.8699999</v>
      </c>
    </row>
    <row r="27" spans="1:5">
      <c r="B27" s="15" t="s">
        <v>18</v>
      </c>
      <c r="C27" s="98">
        <v>13</v>
      </c>
      <c r="D27" s="21">
        <v>1745125702.04</v>
      </c>
      <c r="E27" s="21">
        <v>1606159360.47</v>
      </c>
    </row>
    <row r="28" spans="1:5">
      <c r="B28" s="27" t="s">
        <v>21</v>
      </c>
      <c r="C28" s="130">
        <v>14</v>
      </c>
      <c r="D28" s="21">
        <v>874590291.40000045</v>
      </c>
      <c r="E28" s="21">
        <v>1167986076.7199996</v>
      </c>
    </row>
    <row r="29" spans="1:5">
      <c r="B29" s="15" t="s">
        <v>23</v>
      </c>
      <c r="C29" s="130">
        <v>16</v>
      </c>
      <c r="D29" s="21">
        <v>2156863059.52</v>
      </c>
      <c r="E29" s="21">
        <v>1009937270.0199987</v>
      </c>
    </row>
    <row r="30" spans="1:5">
      <c r="B30" s="24" t="s">
        <v>19</v>
      </c>
      <c r="C30" s="100"/>
      <c r="D30" s="25">
        <v>11079540065.84</v>
      </c>
      <c r="E30" s="25">
        <v>10344149684.079998</v>
      </c>
    </row>
    <row r="31" spans="1:5" ht="11.25" customHeight="1">
      <c r="B31" s="15"/>
      <c r="C31" s="98"/>
      <c r="E31" s="20"/>
    </row>
    <row r="32" spans="1:5" ht="16.2">
      <c r="B32" s="19" t="s">
        <v>20</v>
      </c>
      <c r="C32" s="98"/>
      <c r="E32" s="20"/>
    </row>
    <row r="33" spans="1:5" ht="15.6" customHeight="1">
      <c r="B33" s="15" t="s">
        <v>135</v>
      </c>
      <c r="C33" s="106">
        <v>12</v>
      </c>
      <c r="D33" s="21">
        <v>3758646841.5999999</v>
      </c>
      <c r="E33" s="21">
        <v>807942709.13</v>
      </c>
    </row>
    <row r="34" spans="1:5" ht="16.5" customHeight="1">
      <c r="B34" s="15" t="s">
        <v>22</v>
      </c>
      <c r="C34" s="98">
        <v>15</v>
      </c>
      <c r="D34" s="21">
        <v>7340064907.9900045</v>
      </c>
      <c r="E34" s="21">
        <v>12524859784.160011</v>
      </c>
    </row>
    <row r="35" spans="1:5">
      <c r="B35" s="24" t="s">
        <v>24</v>
      </c>
      <c r="C35" s="100"/>
      <c r="D35" s="25">
        <v>11098711749.590004</v>
      </c>
      <c r="E35" s="25">
        <v>13332802493.29001</v>
      </c>
    </row>
    <row r="36" spans="1:5" ht="11.25" customHeight="1">
      <c r="B36" s="24"/>
      <c r="C36" s="100"/>
      <c r="D36" s="25"/>
      <c r="E36" s="28"/>
    </row>
    <row r="37" spans="1:5">
      <c r="A37" s="150" t="s">
        <v>25</v>
      </c>
      <c r="B37" s="150"/>
      <c r="C37" s="100"/>
      <c r="D37" s="25">
        <v>22178251815.430004</v>
      </c>
      <c r="E37" s="25">
        <v>23676952177.37001</v>
      </c>
    </row>
    <row r="38" spans="1:5" ht="11.25" customHeight="1">
      <c r="B38" s="24"/>
      <c r="C38" s="151"/>
      <c r="E38" s="20"/>
    </row>
    <row r="39" spans="1:5">
      <c r="A39" s="143" t="s">
        <v>26</v>
      </c>
      <c r="B39" s="143"/>
      <c r="C39" s="151"/>
      <c r="E39" s="20"/>
    </row>
    <row r="40" spans="1:5">
      <c r="A40" s="149" t="s">
        <v>27</v>
      </c>
      <c r="B40" s="149"/>
      <c r="C40" s="98"/>
      <c r="D40" s="25">
        <v>40364620209.01001</v>
      </c>
      <c r="E40" s="25">
        <v>36246902938.57</v>
      </c>
    </row>
    <row r="41" spans="1:5" ht="11.25" customHeight="1">
      <c r="B41" s="15"/>
      <c r="C41" s="95"/>
      <c r="E41" s="20"/>
    </row>
    <row r="42" spans="1:5" ht="16.5" customHeight="1" thickBot="1">
      <c r="A42" s="143" t="s">
        <v>28</v>
      </c>
      <c r="B42" s="143"/>
      <c r="C42" s="143"/>
      <c r="D42" s="26">
        <v>62542872024.440018</v>
      </c>
      <c r="E42" s="26">
        <v>59923855115.939957</v>
      </c>
    </row>
    <row r="43" spans="1:5" ht="16.2" thickTop="1">
      <c r="A43" s="144" t="s">
        <v>29</v>
      </c>
      <c r="B43" s="144"/>
      <c r="C43" s="144"/>
      <c r="D43" s="145"/>
      <c r="E43" s="145"/>
    </row>
    <row r="44" spans="1:5">
      <c r="A44" s="29"/>
      <c r="B44" s="29"/>
      <c r="C44" s="102"/>
      <c r="D44" s="30">
        <v>0</v>
      </c>
      <c r="E44" s="30">
        <v>0</v>
      </c>
    </row>
    <row r="45" spans="1:5">
      <c r="A45" s="31"/>
      <c r="B45" s="31"/>
      <c r="C45" s="103"/>
      <c r="D45" s="107">
        <f>D22-D42</f>
        <v>0</v>
      </c>
      <c r="E45" s="107">
        <f>E22-E42</f>
        <v>0</v>
      </c>
    </row>
    <row r="46" spans="1:5">
      <c r="D46" s="33"/>
      <c r="E46" s="33"/>
    </row>
    <row r="66" spans="4:4">
      <c r="D66" s="34"/>
    </row>
  </sheetData>
  <sheetProtection algorithmName="SHA-512" hashValue="OfZLlopDTOgrnlR9U2gK4rXrhq3vWC7WogWrsA3xPiu6TCvtdNWiGL78/suNxZF13zNRU4WweJwwToJla7f8UQ==" saltValue="1xntWzERZEUc6M3k8sQulA==" spinCount="100000" sheet="1" objects="1" scenarios="1" selectLockedCells="1" selectUnlockedCells="1"/>
  <mergeCells count="14">
    <mergeCell ref="A6:B6"/>
    <mergeCell ref="A42:C42"/>
    <mergeCell ref="A43:E43"/>
    <mergeCell ref="A1:E1"/>
    <mergeCell ref="A2:E2"/>
    <mergeCell ref="A3:E3"/>
    <mergeCell ref="A4:E4"/>
    <mergeCell ref="A40:B40"/>
    <mergeCell ref="A7:B7"/>
    <mergeCell ref="A22:B22"/>
    <mergeCell ref="A24:B24"/>
    <mergeCell ref="A37:B37"/>
    <mergeCell ref="C38:C39"/>
    <mergeCell ref="A39:B39"/>
  </mergeCells>
  <pageMargins left="1.21" right="1" top="1" bottom="1" header="0.5" footer="0.5"/>
  <pageSetup scale="96" orientation="portrait" horizontalDpi="1200" verticalDpi="1200" r:id="rId1"/>
  <headerFooter scaleWithDoc="0" alignWithMargins="0">
    <oddFooter>&amp;C&amp;"Arial ,Regular"&amp;10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zoomScaleNormal="100" zoomScaleSheetLayoutView="90" workbookViewId="0">
      <selection sqref="A1:E1"/>
    </sheetView>
  </sheetViews>
  <sheetFormatPr defaultColWidth="11.44140625" defaultRowHeight="13.8"/>
  <cols>
    <col min="1" max="1" width="2.33203125" style="35" customWidth="1"/>
    <col min="2" max="2" width="44.6640625" style="44" customWidth="1"/>
    <col min="3" max="3" width="7.5546875" style="105" bestFit="1" customWidth="1"/>
    <col min="4" max="4" width="19.77734375" style="46" bestFit="1" customWidth="1"/>
    <col min="5" max="5" width="19.88671875" style="46" bestFit="1" customWidth="1"/>
    <col min="6" max="16384" width="11.44140625" style="8"/>
  </cols>
  <sheetData>
    <row r="1" spans="1:5" ht="15.6">
      <c r="A1" s="146" t="s">
        <v>0</v>
      </c>
      <c r="B1" s="146"/>
      <c r="C1" s="146"/>
      <c r="D1" s="146"/>
      <c r="E1" s="146"/>
    </row>
    <row r="2" spans="1:5" ht="15.6">
      <c r="A2" s="146" t="s">
        <v>114</v>
      </c>
      <c r="B2" s="146"/>
      <c r="C2" s="146"/>
      <c r="D2" s="146"/>
      <c r="E2" s="146"/>
    </row>
    <row r="3" spans="1:5" ht="15.6">
      <c r="A3" s="147" t="s">
        <v>131</v>
      </c>
      <c r="B3" s="147"/>
      <c r="C3" s="147"/>
      <c r="D3" s="147"/>
      <c r="E3" s="147"/>
    </row>
    <row r="4" spans="1:5" ht="15.6">
      <c r="A4" s="148" t="s">
        <v>130</v>
      </c>
      <c r="B4" s="148"/>
      <c r="C4" s="148"/>
      <c r="D4" s="148"/>
      <c r="E4" s="148"/>
    </row>
    <row r="5" spans="1:5" ht="15.6">
      <c r="B5" s="15"/>
      <c r="C5" s="95"/>
      <c r="D5" s="36"/>
      <c r="E5" s="36"/>
    </row>
    <row r="6" spans="1:5" s="9" customFormat="1" ht="15.6">
      <c r="A6" s="142"/>
      <c r="B6" s="142"/>
      <c r="C6" s="96" t="s">
        <v>1</v>
      </c>
      <c r="D6" s="125">
        <v>2021</v>
      </c>
      <c r="E6" s="126">
        <v>2020</v>
      </c>
    </row>
    <row r="7" spans="1:5" ht="16.2">
      <c r="A7" s="152" t="s">
        <v>30</v>
      </c>
      <c r="B7" s="152"/>
      <c r="C7" s="98"/>
      <c r="D7" s="37"/>
      <c r="E7" s="37"/>
    </row>
    <row r="8" spans="1:5" ht="15.6">
      <c r="B8" s="23" t="s">
        <v>31</v>
      </c>
      <c r="C8" s="98">
        <v>17</v>
      </c>
      <c r="D8" s="37">
        <v>19340145256.110004</v>
      </c>
      <c r="E8" s="37">
        <v>9720115235.9100037</v>
      </c>
    </row>
    <row r="9" spans="1:5" s="13" customFormat="1" ht="15.6">
      <c r="A9" s="38"/>
      <c r="B9" s="23" t="s">
        <v>134</v>
      </c>
      <c r="C9" s="98">
        <v>18</v>
      </c>
      <c r="D9" s="133">
        <v>3763196569</v>
      </c>
      <c r="E9" s="133">
        <v>3519830028</v>
      </c>
    </row>
    <row r="10" spans="1:5" ht="15.6">
      <c r="B10" s="23" t="s">
        <v>32</v>
      </c>
      <c r="C10" s="106">
        <v>19</v>
      </c>
      <c r="D10" s="37">
        <v>1719632259.95</v>
      </c>
      <c r="E10" s="37">
        <v>1449607466.8199995</v>
      </c>
    </row>
    <row r="11" spans="1:5" ht="15.6">
      <c r="B11" s="23" t="s">
        <v>33</v>
      </c>
      <c r="C11" s="106">
        <v>21</v>
      </c>
      <c r="D11" s="37">
        <v>330472512.69999999</v>
      </c>
      <c r="E11" s="37">
        <v>338733000</v>
      </c>
    </row>
    <row r="12" spans="1:5" ht="15.6">
      <c r="B12" s="23" t="s">
        <v>124</v>
      </c>
      <c r="C12" s="106">
        <v>22</v>
      </c>
      <c r="D12" s="37">
        <v>1401157654.1699996</v>
      </c>
      <c r="E12" s="37">
        <v>2877256677.2499995</v>
      </c>
    </row>
    <row r="13" spans="1:5" ht="15.6">
      <c r="B13" s="23" t="s">
        <v>34</v>
      </c>
      <c r="C13" s="106">
        <v>23</v>
      </c>
      <c r="D13" s="37">
        <v>16714676.009999998</v>
      </c>
      <c r="E13" s="37">
        <v>28901.55</v>
      </c>
    </row>
    <row r="14" spans="1:5" ht="15.6">
      <c r="A14" s="143" t="s">
        <v>35</v>
      </c>
      <c r="B14" s="143"/>
      <c r="C14" s="100"/>
      <c r="D14" s="39">
        <v>26571318927.940002</v>
      </c>
      <c r="E14" s="39">
        <v>17905571309.530003</v>
      </c>
    </row>
    <row r="15" spans="1:5" ht="15.6">
      <c r="B15" s="15"/>
      <c r="C15" s="98"/>
      <c r="D15" s="37"/>
      <c r="E15" s="37"/>
    </row>
    <row r="16" spans="1:5" ht="15.6">
      <c r="A16" s="143" t="s">
        <v>36</v>
      </c>
      <c r="B16" s="143"/>
      <c r="C16" s="98"/>
      <c r="D16" s="37"/>
      <c r="E16" s="37"/>
    </row>
    <row r="17" spans="1:5" ht="15.6">
      <c r="B17" s="23" t="s">
        <v>37</v>
      </c>
      <c r="C17" s="98">
        <v>24</v>
      </c>
      <c r="D17" s="37">
        <v>5125599192.2399998</v>
      </c>
      <c r="E17" s="37">
        <v>4508434805.249999</v>
      </c>
    </row>
    <row r="18" spans="1:5" ht="15.6">
      <c r="B18" s="23" t="s">
        <v>38</v>
      </c>
      <c r="C18" s="98">
        <v>25</v>
      </c>
      <c r="D18" s="133">
        <v>15444473648.970003</v>
      </c>
      <c r="E18" s="133">
        <v>11186316059.360001</v>
      </c>
    </row>
    <row r="19" spans="1:5" ht="15.6">
      <c r="B19" s="23" t="s">
        <v>39</v>
      </c>
      <c r="C19" s="106">
        <v>26</v>
      </c>
      <c r="D19" s="37">
        <v>7571877.5900000036</v>
      </c>
      <c r="E19" s="37">
        <v>2816753.7300000009</v>
      </c>
    </row>
    <row r="20" spans="1:5" ht="15.6">
      <c r="B20" s="23" t="s">
        <v>40</v>
      </c>
      <c r="C20" s="106">
        <v>27</v>
      </c>
      <c r="D20" s="37">
        <v>1295009068.4199998</v>
      </c>
      <c r="E20" s="37">
        <v>1442503858.3800006</v>
      </c>
    </row>
    <row r="21" spans="1:5" ht="15.6">
      <c r="A21" s="143" t="s">
        <v>41</v>
      </c>
      <c r="B21" s="143"/>
      <c r="C21" s="100"/>
      <c r="D21" s="39">
        <v>21872653787.220001</v>
      </c>
      <c r="E21" s="39">
        <v>17140071476.720001</v>
      </c>
    </row>
    <row r="22" spans="1:5" ht="15.6">
      <c r="A22" s="40"/>
      <c r="B22" s="40"/>
      <c r="C22" s="100"/>
      <c r="D22" s="41"/>
      <c r="E22" s="41"/>
    </row>
    <row r="23" spans="1:5" ht="15.6">
      <c r="A23" s="153" t="s">
        <v>145</v>
      </c>
      <c r="B23" s="153"/>
      <c r="C23" s="100"/>
      <c r="D23" s="41">
        <v>4698665140.7200012</v>
      </c>
      <c r="E23" s="41">
        <v>765499832.80999994</v>
      </c>
    </row>
    <row r="24" spans="1:5" ht="15.6">
      <c r="A24" s="40"/>
      <c r="B24" s="40" t="s">
        <v>42</v>
      </c>
      <c r="C24" s="100"/>
      <c r="D24" s="41"/>
      <c r="E24" s="41"/>
    </row>
    <row r="25" spans="1:5" ht="15.6">
      <c r="A25" s="135"/>
      <c r="B25" s="94" t="s">
        <v>144</v>
      </c>
      <c r="C25" s="106">
        <v>20</v>
      </c>
      <c r="D25" s="133">
        <v>0</v>
      </c>
      <c r="E25" s="133">
        <v>292600487</v>
      </c>
    </row>
    <row r="26" spans="1:5" ht="15.6">
      <c r="A26" s="40"/>
      <c r="B26" s="136" t="s">
        <v>146</v>
      </c>
      <c r="C26" s="98">
        <v>28</v>
      </c>
      <c r="D26" s="37">
        <v>-580947870.27999997</v>
      </c>
      <c r="E26" s="37">
        <v>-325724179.18000001</v>
      </c>
    </row>
    <row r="27" spans="1:5" ht="16.2" thickBot="1">
      <c r="A27" s="143" t="s">
        <v>112</v>
      </c>
      <c r="B27" s="143"/>
      <c r="C27" s="100"/>
      <c r="D27" s="42">
        <v>4117717270.4400015</v>
      </c>
      <c r="E27" s="42">
        <v>732376140.63</v>
      </c>
    </row>
    <row r="28" spans="1:5" ht="16.2" thickTop="1">
      <c r="A28" s="43" t="s">
        <v>29</v>
      </c>
      <c r="B28" s="15"/>
      <c r="C28" s="98"/>
      <c r="D28" s="37"/>
      <c r="E28" s="37"/>
    </row>
    <row r="29" spans="1:5">
      <c r="B29" s="31"/>
      <c r="C29" s="103"/>
      <c r="D29" s="45"/>
      <c r="E29" s="45"/>
    </row>
    <row r="34" spans="1:1">
      <c r="A34" s="31"/>
    </row>
  </sheetData>
  <sheetProtection algorithmName="SHA-512" hashValue="FCxhj9CorA30dlKKRj36KE5buuFGFpllLEMCR1qNELfZXyO7aZpHfG+wp6yH7m8bPB8ZXhRxhlUzMeZETWa0UA==" saltValue="XuQm0PoTg0imCyTYoh8llQ==" spinCount="100000" sheet="1" objects="1" scenarios="1" selectLockedCells="1" selectUnlockedCells="1"/>
  <mergeCells count="11">
    <mergeCell ref="A1:E1"/>
    <mergeCell ref="A2:E2"/>
    <mergeCell ref="A3:E3"/>
    <mergeCell ref="A4:E4"/>
    <mergeCell ref="A6:B6"/>
    <mergeCell ref="A27:B27"/>
    <mergeCell ref="A7:B7"/>
    <mergeCell ref="A14:B14"/>
    <mergeCell ref="A16:B16"/>
    <mergeCell ref="A21:B21"/>
    <mergeCell ref="A23:B23"/>
  </mergeCells>
  <pageMargins left="1.5" right="1" top="1" bottom="1" header="0.5" footer="0.5"/>
  <pageSetup scale="81" orientation="portrait" r:id="rId1"/>
  <headerFooter scaleWithDoc="0" alignWithMargins="0">
    <oddFooter>&amp;C&amp;"Arial,Regular"&amp;10 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zoomScaleNormal="100" zoomScaleSheetLayoutView="115" workbookViewId="0">
      <selection sqref="A1:E1"/>
    </sheetView>
  </sheetViews>
  <sheetFormatPr defaultColWidth="11.44140625" defaultRowHeight="13.8"/>
  <cols>
    <col min="1" max="1" width="3.33203125" style="47" customWidth="1"/>
    <col min="2" max="2" width="39.21875" style="65" customWidth="1"/>
    <col min="3" max="3" width="7.109375" style="66" bestFit="1" customWidth="1"/>
    <col min="4" max="4" width="20" style="66" bestFit="1" customWidth="1"/>
    <col min="5" max="5" width="20.5546875" style="66" bestFit="1" customWidth="1"/>
    <col min="6" max="16384" width="11.44140625" style="1"/>
  </cols>
  <sheetData>
    <row r="1" spans="1:5" ht="15.6">
      <c r="A1" s="154" t="s">
        <v>0</v>
      </c>
      <c r="B1" s="154"/>
      <c r="C1" s="154"/>
      <c r="D1" s="154"/>
      <c r="E1" s="154"/>
    </row>
    <row r="2" spans="1:5" ht="15.6">
      <c r="A2" s="154" t="s">
        <v>115</v>
      </c>
      <c r="B2" s="154"/>
      <c r="C2" s="154"/>
      <c r="D2" s="154"/>
      <c r="E2" s="154"/>
    </row>
    <row r="3" spans="1:5" ht="15.6">
      <c r="A3" s="155" t="s">
        <v>131</v>
      </c>
      <c r="B3" s="155"/>
      <c r="C3" s="155"/>
      <c r="D3" s="155"/>
      <c r="E3" s="155"/>
    </row>
    <row r="4" spans="1:5" ht="15.6">
      <c r="A4" s="156" t="s">
        <v>132</v>
      </c>
      <c r="B4" s="156"/>
      <c r="C4" s="156"/>
      <c r="D4" s="156"/>
      <c r="E4" s="156"/>
    </row>
    <row r="5" spans="1:5" ht="15.6">
      <c r="B5" s="48"/>
      <c r="C5" s="49"/>
      <c r="D5" s="49"/>
      <c r="E5" s="49"/>
    </row>
    <row r="6" spans="1:5" s="4" customFormat="1" ht="15.6">
      <c r="A6" s="50"/>
      <c r="B6" s="50"/>
      <c r="C6" s="51" t="s">
        <v>1</v>
      </c>
      <c r="D6" s="125">
        <v>2021</v>
      </c>
      <c r="E6" s="126">
        <v>2020</v>
      </c>
    </row>
    <row r="7" spans="1:5" ht="15.6">
      <c r="A7" s="52" t="s">
        <v>118</v>
      </c>
      <c r="B7" s="48"/>
      <c r="C7" s="53"/>
      <c r="D7" s="54">
        <v>36246902938.569992</v>
      </c>
      <c r="E7" s="54">
        <v>51309175833.269997</v>
      </c>
    </row>
    <row r="8" spans="1:5" ht="15.6">
      <c r="A8" s="55" t="s">
        <v>143</v>
      </c>
      <c r="B8" s="48"/>
      <c r="C8" s="137">
        <v>29</v>
      </c>
      <c r="D8" s="56">
        <v>0</v>
      </c>
      <c r="E8" s="57">
        <v>719827096.11000001</v>
      </c>
    </row>
    <row r="9" spans="1:5" ht="15.6">
      <c r="A9" s="52" t="s">
        <v>128</v>
      </c>
      <c r="B9" s="48"/>
      <c r="C9" s="53"/>
      <c r="D9" s="134">
        <v>36246902938.569992</v>
      </c>
      <c r="E9" s="134">
        <v>52029002929.379997</v>
      </c>
    </row>
    <row r="10" spans="1:5" s="5" customFormat="1" ht="15.75" customHeight="1">
      <c r="A10" s="157" t="s">
        <v>127</v>
      </c>
      <c r="B10" s="157"/>
      <c r="C10" s="157"/>
      <c r="D10" s="58"/>
      <c r="E10" s="59"/>
    </row>
    <row r="11" spans="1:5" ht="31.5" customHeight="1">
      <c r="A11" s="158" t="s">
        <v>44</v>
      </c>
      <c r="B11" s="158"/>
      <c r="C11" s="137">
        <v>29</v>
      </c>
      <c r="D11" s="58">
        <v>0</v>
      </c>
      <c r="E11" s="58">
        <v>-16514476131.440001</v>
      </c>
    </row>
    <row r="12" spans="1:5" ht="15.75" customHeight="1">
      <c r="A12" s="158" t="s">
        <v>126</v>
      </c>
      <c r="B12" s="158"/>
      <c r="C12" s="60"/>
      <c r="D12" s="56">
        <v>4117717270.4400015</v>
      </c>
      <c r="E12" s="57">
        <v>732376140.63</v>
      </c>
    </row>
    <row r="13" spans="1:5" ht="16.5" customHeight="1" thickBot="1">
      <c r="A13" s="157" t="s">
        <v>119</v>
      </c>
      <c r="B13" s="157"/>
      <c r="C13" s="61"/>
      <c r="D13" s="62">
        <v>40364620209.009995</v>
      </c>
      <c r="E13" s="62">
        <v>36246902938.569992</v>
      </c>
    </row>
    <row r="14" spans="1:5" ht="16.2" thickTop="1">
      <c r="A14" s="63" t="s">
        <v>29</v>
      </c>
      <c r="B14" s="48"/>
      <c r="C14" s="53"/>
      <c r="D14" s="64"/>
      <c r="E14" s="64"/>
    </row>
    <row r="21" spans="2:5" ht="15" customHeight="1">
      <c r="B21" s="67"/>
      <c r="C21" s="67"/>
      <c r="D21" s="68"/>
      <c r="E21" s="68"/>
    </row>
    <row r="36" spans="1:1">
      <c r="A36" s="67"/>
    </row>
  </sheetData>
  <sheetProtection algorithmName="SHA-512" hashValue="umJCGEtNjSr6v5FemfqPDr1fWDtnYArWhXK6MTmwu2xxBmhCFjQv83F1NfN+AkBBFfDWtD433IbePToZsqVt/g==" saltValue="KjTTKcPQAPek+gCgdC3otw==" spinCount="100000" sheet="1" objects="1" scenarios="1" selectLockedCells="1" selectUnlockedCells="1"/>
  <mergeCells count="8">
    <mergeCell ref="A1:E1"/>
    <mergeCell ref="A2:E2"/>
    <mergeCell ref="A3:E3"/>
    <mergeCell ref="A4:E4"/>
    <mergeCell ref="A13:B13"/>
    <mergeCell ref="A10:C10"/>
    <mergeCell ref="A11:B11"/>
    <mergeCell ref="A12:B12"/>
  </mergeCells>
  <pageMargins left="1" right="1" top="1" bottom="1" header="0.5" footer="0.5"/>
  <pageSetup scale="85" orientation="portrait" horizontalDpi="1200" verticalDpi="1200" r:id="rId1"/>
  <headerFooter scaleWithDoc="0" alignWithMargins="0">
    <oddFooter>&amp;C&amp;"Arial,Regular"&amp;10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showGridLines="0" zoomScaleNormal="100" workbookViewId="0">
      <selection sqref="A1:E1"/>
    </sheetView>
  </sheetViews>
  <sheetFormatPr defaultColWidth="11.44140625" defaultRowHeight="15.6"/>
  <cols>
    <col min="1" max="1" width="3.33203125" style="69" customWidth="1"/>
    <col min="2" max="2" width="38.44140625" style="84" customWidth="1"/>
    <col min="3" max="3" width="6.21875" style="84" customWidth="1"/>
    <col min="4" max="5" width="20" style="73" bestFit="1" customWidth="1"/>
    <col min="6" max="16384" width="11.44140625" style="10"/>
  </cols>
  <sheetData>
    <row r="1" spans="1:5" s="11" customFormat="1">
      <c r="A1" s="160" t="s">
        <v>0</v>
      </c>
      <c r="B1" s="160"/>
      <c r="C1" s="160"/>
      <c r="D1" s="160"/>
      <c r="E1" s="160"/>
    </row>
    <row r="2" spans="1:5" s="11" customFormat="1">
      <c r="A2" s="160" t="s">
        <v>117</v>
      </c>
      <c r="B2" s="160"/>
      <c r="C2" s="160"/>
      <c r="D2" s="160"/>
      <c r="E2" s="160"/>
    </row>
    <row r="3" spans="1:5" s="11" customFormat="1" ht="15" customHeight="1">
      <c r="A3" s="161" t="s">
        <v>131</v>
      </c>
      <c r="B3" s="161"/>
      <c r="C3" s="161"/>
      <c r="D3" s="161"/>
      <c r="E3" s="161"/>
    </row>
    <row r="4" spans="1:5" s="11" customFormat="1" ht="15" customHeight="1">
      <c r="A4" s="162" t="s">
        <v>130</v>
      </c>
      <c r="B4" s="162"/>
      <c r="C4" s="162"/>
      <c r="D4" s="162"/>
      <c r="E4" s="162"/>
    </row>
    <row r="5" spans="1:5" s="11" customFormat="1" ht="15" customHeight="1">
      <c r="A5" s="69"/>
      <c r="B5" s="70"/>
      <c r="C5" s="70"/>
      <c r="D5" s="71"/>
      <c r="E5" s="71"/>
    </row>
    <row r="6" spans="1:5" s="11" customFormat="1">
      <c r="A6" s="72"/>
      <c r="B6" s="72"/>
      <c r="C6" s="96" t="s">
        <v>1</v>
      </c>
      <c r="D6" s="127">
        <v>2021</v>
      </c>
      <c r="E6" s="127">
        <v>2020</v>
      </c>
    </row>
    <row r="7" spans="1:5" s="11" customFormat="1" ht="15" customHeight="1">
      <c r="A7" s="159" t="s">
        <v>45</v>
      </c>
      <c r="B7" s="164"/>
      <c r="C7" s="140"/>
      <c r="D7" s="73"/>
      <c r="E7" s="73"/>
    </row>
    <row r="8" spans="1:5" s="11" customFormat="1" ht="15" customHeight="1">
      <c r="A8" s="163" t="s">
        <v>46</v>
      </c>
      <c r="B8" s="163"/>
      <c r="C8" s="139"/>
      <c r="D8" s="73"/>
      <c r="E8" s="73"/>
    </row>
    <row r="9" spans="1:5" s="11" customFormat="1" ht="15" customHeight="1">
      <c r="A9" s="69"/>
      <c r="B9" s="70" t="s">
        <v>47</v>
      </c>
      <c r="C9" s="70"/>
      <c r="D9" s="74">
        <v>10303441784.380005</v>
      </c>
      <c r="E9" s="74">
        <v>9745972109.6800041</v>
      </c>
    </row>
    <row r="10" spans="1:5" s="11" customFormat="1" ht="15" customHeight="1">
      <c r="A10" s="69"/>
      <c r="B10" s="70" t="s">
        <v>48</v>
      </c>
      <c r="C10" s="70"/>
      <c r="D10" s="74">
        <v>3763196569</v>
      </c>
      <c r="E10" s="74">
        <v>3511205844</v>
      </c>
    </row>
    <row r="11" spans="1:5" s="11" customFormat="1" ht="15" customHeight="1">
      <c r="A11" s="69"/>
      <c r="B11" s="70" t="s">
        <v>49</v>
      </c>
      <c r="C11" s="70"/>
      <c r="D11" s="74">
        <v>1672602437.1999993</v>
      </c>
      <c r="E11" s="74">
        <v>1395549144.9599993</v>
      </c>
    </row>
    <row r="12" spans="1:5" s="11" customFormat="1" ht="15" customHeight="1">
      <c r="A12" s="69"/>
      <c r="B12" s="70" t="s">
        <v>50</v>
      </c>
      <c r="C12" s="70"/>
      <c r="D12" s="74">
        <v>47029822.749999993</v>
      </c>
      <c r="E12" s="74">
        <v>54059821.780000001</v>
      </c>
    </row>
    <row r="13" spans="1:5" s="11" customFormat="1" ht="15" customHeight="1">
      <c r="A13" s="69"/>
      <c r="B13" s="70" t="s">
        <v>51</v>
      </c>
      <c r="C13" s="70"/>
      <c r="D13" s="74">
        <v>5458314118.0099993</v>
      </c>
      <c r="E13" s="74">
        <v>10659066366.32</v>
      </c>
    </row>
    <row r="14" spans="1:5" s="11" customFormat="1" ht="15" customHeight="1">
      <c r="A14" s="69"/>
      <c r="B14" s="70" t="s">
        <v>52</v>
      </c>
      <c r="C14" s="70"/>
      <c r="D14" s="75">
        <v>21244584731.340004</v>
      </c>
      <c r="E14" s="75">
        <v>25365853286.740005</v>
      </c>
    </row>
    <row r="15" spans="1:5" s="11" customFormat="1" ht="15" customHeight="1">
      <c r="A15" s="163" t="s">
        <v>53</v>
      </c>
      <c r="B15" s="163"/>
      <c r="C15" s="139"/>
      <c r="D15" s="74"/>
      <c r="E15" s="74"/>
    </row>
    <row r="16" spans="1:5" s="11" customFormat="1" ht="15" customHeight="1">
      <c r="A16" s="69"/>
      <c r="B16" s="76" t="s">
        <v>54</v>
      </c>
      <c r="C16" s="76"/>
      <c r="D16" s="74">
        <v>19769265868.210007</v>
      </c>
      <c r="E16" s="74">
        <v>16081611396.33</v>
      </c>
    </row>
    <row r="17" spans="1:5" s="11" customFormat="1" ht="15" customHeight="1">
      <c r="A17" s="69"/>
      <c r="B17" s="70" t="s">
        <v>55</v>
      </c>
      <c r="C17" s="70"/>
      <c r="D17" s="74">
        <v>5150447299.6899996</v>
      </c>
      <c r="E17" s="74">
        <v>4511070599.9000006</v>
      </c>
    </row>
    <row r="18" spans="1:5" s="11" customFormat="1" ht="15" customHeight="1">
      <c r="A18" s="69"/>
      <c r="B18" s="76" t="s">
        <v>56</v>
      </c>
      <c r="C18" s="76"/>
      <c r="D18" s="74">
        <v>7316427.5900000036</v>
      </c>
      <c r="E18" s="74">
        <v>2612653.7300000009</v>
      </c>
    </row>
    <row r="19" spans="1:5" s="11" customFormat="1" ht="15" customHeight="1">
      <c r="A19" s="69"/>
      <c r="B19" s="70" t="s">
        <v>57</v>
      </c>
      <c r="C19" s="70"/>
      <c r="D19" s="74">
        <v>1244850668.7100034</v>
      </c>
      <c r="E19" s="74">
        <v>1244799318.7100034</v>
      </c>
    </row>
    <row r="20" spans="1:5" s="11" customFormat="1" ht="15" customHeight="1">
      <c r="A20" s="69"/>
      <c r="B20" s="70" t="s">
        <v>58</v>
      </c>
      <c r="C20" s="70"/>
      <c r="D20" s="75">
        <v>26171880264.200008</v>
      </c>
      <c r="E20" s="75">
        <v>21840093968.670002</v>
      </c>
    </row>
    <row r="21" spans="1:5" s="11" customFormat="1">
      <c r="A21" s="159" t="s">
        <v>59</v>
      </c>
      <c r="B21" s="159"/>
      <c r="C21" s="141">
        <v>30</v>
      </c>
      <c r="D21" s="75">
        <v>-4927295532.8600044</v>
      </c>
      <c r="E21" s="75">
        <v>3525759318.0700035</v>
      </c>
    </row>
    <row r="22" spans="1:5" s="11" customFormat="1">
      <c r="A22" s="159" t="s">
        <v>60</v>
      </c>
      <c r="B22" s="159"/>
      <c r="C22" s="138"/>
      <c r="D22" s="74"/>
      <c r="E22" s="74"/>
    </row>
    <row r="23" spans="1:5" s="11" customFormat="1" ht="15" customHeight="1">
      <c r="A23" s="163" t="s">
        <v>46</v>
      </c>
      <c r="B23" s="163"/>
      <c r="C23" s="139"/>
      <c r="D23" s="74"/>
      <c r="E23" s="74"/>
    </row>
    <row r="24" spans="1:5" s="12" customFormat="1" ht="31.2">
      <c r="A24" s="77"/>
      <c r="B24" s="78" t="s">
        <v>61</v>
      </c>
      <c r="C24" s="139"/>
      <c r="D24" s="79">
        <v>1257327371.54</v>
      </c>
      <c r="E24" s="79">
        <v>2086349192</v>
      </c>
    </row>
    <row r="25" spans="1:5" s="11" customFormat="1" ht="15" customHeight="1">
      <c r="A25" s="69"/>
      <c r="B25" s="76" t="s">
        <v>52</v>
      </c>
      <c r="C25" s="76"/>
      <c r="D25" s="75">
        <v>1257327371.54</v>
      </c>
      <c r="E25" s="75">
        <v>2086349192</v>
      </c>
    </row>
    <row r="26" spans="1:5" s="11" customFormat="1" ht="15" customHeight="1">
      <c r="A26" s="163" t="s">
        <v>53</v>
      </c>
      <c r="B26" s="163"/>
      <c r="C26" s="139"/>
      <c r="D26" s="74"/>
      <c r="E26" s="74"/>
    </row>
    <row r="27" spans="1:5" s="12" customFormat="1" ht="31.2">
      <c r="A27" s="77"/>
      <c r="B27" s="78" t="s">
        <v>62</v>
      </c>
      <c r="C27" s="139"/>
      <c r="D27" s="79">
        <v>4749910326.5200005</v>
      </c>
      <c r="E27" s="79">
        <v>1738215017.01</v>
      </c>
    </row>
    <row r="28" spans="1:5" s="11" customFormat="1" ht="15" customHeight="1">
      <c r="A28" s="69"/>
      <c r="B28" s="76" t="s">
        <v>58</v>
      </c>
      <c r="C28" s="76"/>
      <c r="D28" s="75">
        <v>4749910326.5200005</v>
      </c>
      <c r="E28" s="75">
        <v>1738215017.01</v>
      </c>
    </row>
    <row r="29" spans="1:5" s="11" customFormat="1" ht="15" customHeight="1">
      <c r="A29" s="72" t="s">
        <v>63</v>
      </c>
      <c r="B29" s="80"/>
      <c r="C29" s="80"/>
      <c r="D29" s="75">
        <v>-3492582954.9800005</v>
      </c>
      <c r="E29" s="75">
        <v>348134174.99000001</v>
      </c>
    </row>
    <row r="30" spans="1:5" s="11" customFormat="1" ht="16.2">
      <c r="A30" s="159" t="s">
        <v>64</v>
      </c>
      <c r="B30" s="164"/>
      <c r="C30" s="140"/>
      <c r="D30" s="81"/>
      <c r="E30" s="81"/>
    </row>
    <row r="31" spans="1:5" s="11" customFormat="1" ht="15" customHeight="1">
      <c r="A31" s="69" t="s">
        <v>46</v>
      </c>
      <c r="B31" s="77"/>
      <c r="C31" s="140"/>
      <c r="D31" s="81"/>
      <c r="E31" s="81"/>
    </row>
    <row r="32" spans="1:5" s="11" customFormat="1" ht="15" customHeight="1">
      <c r="A32" s="82"/>
      <c r="B32" s="78" t="s">
        <v>125</v>
      </c>
      <c r="C32" s="139"/>
      <c r="D32" s="74">
        <v>2991685073.71</v>
      </c>
      <c r="E32" s="74">
        <v>807942709.12</v>
      </c>
    </row>
    <row r="33" spans="1:5" s="11" customFormat="1" ht="15" customHeight="1">
      <c r="A33" s="82"/>
      <c r="B33" s="76" t="s">
        <v>52</v>
      </c>
      <c r="C33" s="76"/>
      <c r="D33" s="83">
        <v>2991685073.71</v>
      </c>
      <c r="E33" s="83">
        <v>807942709.12</v>
      </c>
    </row>
    <row r="34" spans="1:5" s="11" customFormat="1" ht="15" customHeight="1">
      <c r="A34" s="69" t="s">
        <v>53</v>
      </c>
      <c r="B34" s="76"/>
      <c r="C34" s="76"/>
      <c r="D34" s="74"/>
      <c r="E34" s="74"/>
    </row>
    <row r="35" spans="1:5" s="11" customFormat="1" ht="15" customHeight="1">
      <c r="A35" s="69"/>
      <c r="B35" s="76" t="s">
        <v>65</v>
      </c>
      <c r="C35" s="76"/>
      <c r="D35" s="74">
        <v>0</v>
      </c>
      <c r="E35" s="74">
        <v>61420602.370000035</v>
      </c>
    </row>
    <row r="36" spans="1:5" s="11" customFormat="1" ht="15" customHeight="1">
      <c r="A36" s="69"/>
      <c r="B36" s="76" t="s">
        <v>58</v>
      </c>
      <c r="C36" s="76"/>
      <c r="D36" s="75">
        <v>0</v>
      </c>
      <c r="E36" s="75">
        <v>61420602.370000035</v>
      </c>
    </row>
    <row r="37" spans="1:5" s="11" customFormat="1" ht="15" customHeight="1">
      <c r="A37" s="72" t="s">
        <v>66</v>
      </c>
      <c r="B37" s="80"/>
      <c r="C37" s="80"/>
      <c r="D37" s="75">
        <v>2991685073.71</v>
      </c>
      <c r="E37" s="75">
        <v>746522106.75</v>
      </c>
    </row>
    <row r="38" spans="1:5" s="12" customFormat="1" ht="31.5" customHeight="1">
      <c r="A38" s="159" t="s">
        <v>110</v>
      </c>
      <c r="B38" s="159"/>
      <c r="C38" s="138"/>
      <c r="D38" s="79">
        <v>-5428193414.1300049</v>
      </c>
      <c r="E38" s="79">
        <v>4620415599.8100033</v>
      </c>
    </row>
    <row r="39" spans="1:5" s="11" customFormat="1">
      <c r="A39" s="72" t="s">
        <v>109</v>
      </c>
      <c r="B39" s="84"/>
      <c r="C39" s="84"/>
      <c r="D39" s="74">
        <v>16293107450.660002</v>
      </c>
      <c r="E39" s="74">
        <v>11672691850.849998</v>
      </c>
    </row>
    <row r="40" spans="1:5" s="11" customFormat="1" ht="16.2" thickBot="1">
      <c r="A40" s="72" t="s">
        <v>111</v>
      </c>
      <c r="B40" s="84"/>
      <c r="C40" s="84"/>
      <c r="D40" s="85">
        <v>10864914036.529997</v>
      </c>
      <c r="E40" s="85">
        <v>16293107450.660002</v>
      </c>
    </row>
    <row r="41" spans="1:5" s="11" customFormat="1" ht="16.2" thickTop="1">
      <c r="A41" s="86" t="s">
        <v>29</v>
      </c>
      <c r="B41" s="84"/>
      <c r="C41" s="84"/>
      <c r="D41" s="73"/>
      <c r="E41" s="73"/>
    </row>
  </sheetData>
  <sheetProtection algorithmName="SHA-512" hashValue="+a+2RB0nH2NrCYFc85aiRmB9DEZqHOSwjFFHyH9AGyQ2Goi7Q3KYbXN45zwY49wA8Hj3fRDadQavXn5jiG5ZQw==" saltValue="VasF1iC3QrBTqm6IIBpQtg==" spinCount="100000" sheet="1" objects="1" scenarios="1" selectLockedCells="1" selectUnlockedCells="1"/>
  <mergeCells count="13">
    <mergeCell ref="A38:B38"/>
    <mergeCell ref="A1:E1"/>
    <mergeCell ref="A2:E2"/>
    <mergeCell ref="A3:E3"/>
    <mergeCell ref="A4:E4"/>
    <mergeCell ref="A23:B23"/>
    <mergeCell ref="A26:B26"/>
    <mergeCell ref="A30:B30"/>
    <mergeCell ref="A7:B7"/>
    <mergeCell ref="A8:B8"/>
    <mergeCell ref="A15:B15"/>
    <mergeCell ref="A21:B21"/>
    <mergeCell ref="A22:B22"/>
  </mergeCells>
  <pageMargins left="1.18" right="1" top="1" bottom="1" header="0.5" footer="0.5"/>
  <pageSetup scale="88" orientation="portrait" horizontalDpi="1200" verticalDpi="1200" r:id="rId1"/>
  <headerFooter>
    <oddFooter>&amp;C&amp;"Arial,Regular"&amp;10 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0"/>
  <sheetViews>
    <sheetView showGridLines="0" zoomScaleNormal="100" zoomScaleSheetLayoutView="70" workbookViewId="0">
      <selection sqref="A1:K1"/>
    </sheetView>
  </sheetViews>
  <sheetFormatPr defaultColWidth="9.109375" defaultRowHeight="13.2"/>
  <cols>
    <col min="1" max="1" width="3" style="88" customWidth="1"/>
    <col min="2" max="2" width="2" style="88" customWidth="1"/>
    <col min="3" max="3" width="3.33203125" style="88" customWidth="1"/>
    <col min="4" max="4" width="2.5546875" style="88" customWidth="1"/>
    <col min="5" max="5" width="3" style="88" customWidth="1"/>
    <col min="6" max="6" width="34.6640625" style="88" customWidth="1"/>
    <col min="7" max="9" width="19.109375" style="124" customWidth="1"/>
    <col min="10" max="10" width="19.109375" style="124" bestFit="1" customWidth="1"/>
    <col min="11" max="11" width="19.109375" style="124" customWidth="1"/>
    <col min="12" max="13" width="9.109375" style="109"/>
    <col min="14" max="16384" width="9.109375" style="2"/>
  </cols>
  <sheetData>
    <row r="1" spans="1:11" ht="15.6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ht="15.6">
      <c r="A2" s="166" t="s">
        <v>116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</row>
    <row r="3" spans="1:11" ht="15.6">
      <c r="A3" s="167" t="s">
        <v>131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</row>
    <row r="5" spans="1:11" ht="26.4" customHeight="1">
      <c r="A5" s="168" t="s">
        <v>67</v>
      </c>
      <c r="B5" s="168"/>
      <c r="C5" s="168"/>
      <c r="D5" s="168"/>
      <c r="E5" s="168"/>
      <c r="F5" s="168"/>
      <c r="G5" s="170" t="s">
        <v>68</v>
      </c>
      <c r="H5" s="170"/>
      <c r="I5" s="171" t="s">
        <v>69</v>
      </c>
      <c r="J5" s="171" t="s">
        <v>70</v>
      </c>
      <c r="K5" s="171" t="s">
        <v>71</v>
      </c>
    </row>
    <row r="6" spans="1:11" ht="13.95" customHeight="1">
      <c r="A6" s="169"/>
      <c r="B6" s="169"/>
      <c r="C6" s="169"/>
      <c r="D6" s="169"/>
      <c r="E6" s="169"/>
      <c r="F6" s="169"/>
      <c r="G6" s="110" t="s">
        <v>72</v>
      </c>
      <c r="H6" s="110" t="s">
        <v>73</v>
      </c>
      <c r="I6" s="172"/>
      <c r="J6" s="172"/>
      <c r="K6" s="172"/>
    </row>
    <row r="7" spans="1:11">
      <c r="A7" s="87" t="s">
        <v>74</v>
      </c>
      <c r="G7" s="108"/>
      <c r="H7" s="108"/>
      <c r="I7" s="108"/>
      <c r="J7" s="108"/>
      <c r="K7" s="108"/>
    </row>
    <row r="8" spans="1:11">
      <c r="A8" s="165" t="s">
        <v>75</v>
      </c>
      <c r="B8" s="165"/>
      <c r="C8" s="88" t="s">
        <v>76</v>
      </c>
      <c r="G8" s="108"/>
      <c r="H8" s="108"/>
      <c r="I8" s="108"/>
      <c r="J8" s="108"/>
      <c r="K8" s="108"/>
    </row>
    <row r="9" spans="1:11">
      <c r="C9" s="88" t="s">
        <v>77</v>
      </c>
      <c r="D9" s="88" t="s">
        <v>31</v>
      </c>
      <c r="G9" s="108"/>
      <c r="H9" s="108"/>
      <c r="I9" s="108"/>
      <c r="J9" s="108"/>
      <c r="K9" s="108"/>
    </row>
    <row r="10" spans="1:11">
      <c r="E10" s="88" t="s">
        <v>78</v>
      </c>
      <c r="F10" s="88" t="s">
        <v>120</v>
      </c>
      <c r="G10" s="108">
        <v>5980000000</v>
      </c>
      <c r="H10" s="108">
        <v>5980000000</v>
      </c>
      <c r="I10" s="108">
        <v>0</v>
      </c>
      <c r="J10" s="128">
        <v>6237071833.0900002</v>
      </c>
      <c r="K10" s="108">
        <v>-257071833.09000015</v>
      </c>
    </row>
    <row r="11" spans="1:11">
      <c r="E11" s="88" t="s">
        <v>79</v>
      </c>
      <c r="F11" s="88" t="s">
        <v>121</v>
      </c>
      <c r="G11" s="108">
        <v>4920000000</v>
      </c>
      <c r="H11" s="108">
        <v>4920000000</v>
      </c>
      <c r="I11" s="108">
        <v>0</v>
      </c>
      <c r="J11" s="128">
        <v>4606694618.1999998</v>
      </c>
      <c r="K11" s="108">
        <v>313305381.80000019</v>
      </c>
    </row>
    <row r="12" spans="1:11">
      <c r="E12" s="88" t="s">
        <v>81</v>
      </c>
      <c r="F12" s="88" t="s">
        <v>80</v>
      </c>
      <c r="G12" s="108">
        <v>924493852</v>
      </c>
      <c r="H12" s="108">
        <v>807947342</v>
      </c>
      <c r="I12" s="108">
        <v>-116546510</v>
      </c>
      <c r="J12" s="128">
        <v>265558952.32000005</v>
      </c>
      <c r="K12" s="108">
        <v>542388389.67999995</v>
      </c>
    </row>
    <row r="13" spans="1:11">
      <c r="A13" s="91"/>
      <c r="B13" s="91"/>
      <c r="C13" s="91"/>
      <c r="D13" s="91" t="s">
        <v>82</v>
      </c>
      <c r="E13" s="91"/>
      <c r="F13" s="91"/>
      <c r="G13" s="112">
        <v>11824493852</v>
      </c>
      <c r="H13" s="112">
        <v>11707947342</v>
      </c>
      <c r="I13" s="112">
        <v>-116546510</v>
      </c>
      <c r="J13" s="112">
        <v>11109325403.610001</v>
      </c>
      <c r="K13" s="112">
        <v>598621938.38999999</v>
      </c>
    </row>
    <row r="14" spans="1:11">
      <c r="C14" s="88" t="s">
        <v>83</v>
      </c>
      <c r="D14" s="88" t="s">
        <v>84</v>
      </c>
      <c r="G14" s="108"/>
      <c r="H14" s="108"/>
      <c r="I14" s="108"/>
      <c r="J14" s="108"/>
      <c r="K14" s="108"/>
    </row>
    <row r="15" spans="1:11">
      <c r="E15" s="88" t="s">
        <v>138</v>
      </c>
      <c r="G15" s="108">
        <v>677061661</v>
      </c>
      <c r="H15" s="108">
        <v>677061661</v>
      </c>
      <c r="I15" s="108">
        <v>0</v>
      </c>
      <c r="J15" s="111">
        <v>502632551.01999968</v>
      </c>
      <c r="K15" s="108">
        <v>174429109.98000032</v>
      </c>
    </row>
    <row r="16" spans="1:11">
      <c r="E16" s="88" t="s">
        <v>139</v>
      </c>
      <c r="G16" s="108">
        <v>31524000</v>
      </c>
      <c r="H16" s="108">
        <v>31524000</v>
      </c>
      <c r="I16" s="108">
        <v>0</v>
      </c>
      <c r="J16" s="111">
        <v>82614.810000000027</v>
      </c>
      <c r="K16" s="108">
        <v>31441385.190000001</v>
      </c>
    </row>
    <row r="17" spans="1:13">
      <c r="E17" s="88" t="s">
        <v>140</v>
      </c>
      <c r="G17" s="108">
        <v>371541191</v>
      </c>
      <c r="H17" s="108">
        <v>371541191</v>
      </c>
      <c r="I17" s="108">
        <v>0</v>
      </c>
      <c r="J17" s="111">
        <v>303615376.91000003</v>
      </c>
      <c r="K17" s="108">
        <v>67925814.089999974</v>
      </c>
    </row>
    <row r="18" spans="1:13">
      <c r="E18" s="88" t="s">
        <v>141</v>
      </c>
      <c r="G18" s="108">
        <v>673564745</v>
      </c>
      <c r="H18" s="108">
        <v>673564745</v>
      </c>
      <c r="I18" s="108">
        <v>0</v>
      </c>
      <c r="J18" s="111">
        <v>471707477.78999984</v>
      </c>
      <c r="K18" s="108">
        <v>201857267.21000016</v>
      </c>
    </row>
    <row r="19" spans="1:13">
      <c r="E19" s="88" t="s">
        <v>142</v>
      </c>
      <c r="G19" s="108">
        <v>1938242</v>
      </c>
      <c r="H19" s="108">
        <v>1938242</v>
      </c>
      <c r="I19" s="108">
        <v>0</v>
      </c>
      <c r="J19" s="111">
        <v>16714676.009999998</v>
      </c>
      <c r="K19" s="108">
        <v>-14776434.009999998</v>
      </c>
    </row>
    <row r="20" spans="1:13">
      <c r="A20" s="91"/>
      <c r="B20" s="91"/>
      <c r="C20" s="91"/>
      <c r="D20" s="91" t="s">
        <v>85</v>
      </c>
      <c r="E20" s="91"/>
      <c r="F20" s="91"/>
      <c r="G20" s="112">
        <v>1755629839</v>
      </c>
      <c r="H20" s="112">
        <v>1755629839</v>
      </c>
      <c r="I20" s="112">
        <v>0</v>
      </c>
      <c r="J20" s="112">
        <v>1294752696.5399997</v>
      </c>
      <c r="K20" s="112">
        <v>460877142.46000046</v>
      </c>
    </row>
    <row r="21" spans="1:13">
      <c r="A21" s="165" t="s">
        <v>86</v>
      </c>
      <c r="B21" s="165"/>
      <c r="C21" s="88" t="s">
        <v>87</v>
      </c>
      <c r="G21" s="113"/>
      <c r="H21" s="113"/>
      <c r="I21" s="113"/>
      <c r="J21" s="113"/>
      <c r="K21" s="113"/>
    </row>
    <row r="22" spans="1:13">
      <c r="C22" s="88" t="s">
        <v>77</v>
      </c>
      <c r="D22" s="88" t="s">
        <v>88</v>
      </c>
      <c r="G22" s="108">
        <v>3763196569</v>
      </c>
      <c r="H22" s="108">
        <v>3763196569</v>
      </c>
      <c r="I22" s="108">
        <v>0</v>
      </c>
      <c r="J22" s="111">
        <v>3763196569</v>
      </c>
      <c r="K22" s="108">
        <v>0</v>
      </c>
    </row>
    <row r="23" spans="1:13">
      <c r="D23" s="88" t="s">
        <v>78</v>
      </c>
      <c r="E23" s="88" t="s">
        <v>89</v>
      </c>
      <c r="G23" s="108">
        <v>5338878402</v>
      </c>
      <c r="H23" s="108">
        <v>6878840912</v>
      </c>
      <c r="I23" s="108">
        <v>1539962510</v>
      </c>
      <c r="J23" s="111">
        <v>1401222455.2399998</v>
      </c>
      <c r="K23" s="108">
        <v>5477618456.7600002</v>
      </c>
    </row>
    <row r="24" spans="1:13">
      <c r="D24" s="88" t="s">
        <v>79</v>
      </c>
      <c r="E24" s="88" t="s">
        <v>147</v>
      </c>
      <c r="G24" s="108">
        <v>40045190</v>
      </c>
      <c r="H24" s="108">
        <v>40045190</v>
      </c>
      <c r="I24" s="108">
        <v>0</v>
      </c>
      <c r="J24" s="111">
        <v>0</v>
      </c>
      <c r="K24" s="108">
        <v>40045190</v>
      </c>
    </row>
    <row r="25" spans="1:13">
      <c r="A25" s="165" t="s">
        <v>90</v>
      </c>
      <c r="B25" s="165"/>
      <c r="C25" s="88" t="s">
        <v>91</v>
      </c>
      <c r="G25" s="108">
        <v>0</v>
      </c>
      <c r="H25" s="108">
        <v>10000000000</v>
      </c>
      <c r="I25" s="108">
        <v>10000000000</v>
      </c>
      <c r="J25" s="111">
        <v>2991685073.71</v>
      </c>
      <c r="K25" s="108">
        <v>7008314926.29</v>
      </c>
    </row>
    <row r="26" spans="1:13" s="3" customFormat="1">
      <c r="A26" s="89" t="s">
        <v>92</v>
      </c>
      <c r="B26" s="89"/>
      <c r="C26" s="89"/>
      <c r="D26" s="89"/>
      <c r="E26" s="89"/>
      <c r="F26" s="89"/>
      <c r="G26" s="112">
        <v>22722243852</v>
      </c>
      <c r="H26" s="112">
        <v>34145659852</v>
      </c>
      <c r="I26" s="112">
        <v>11423416000</v>
      </c>
      <c r="J26" s="112">
        <v>20560182198.099998</v>
      </c>
      <c r="K26" s="112">
        <v>13585477653.9</v>
      </c>
      <c r="L26" s="114"/>
      <c r="M26" s="114"/>
    </row>
    <row r="27" spans="1:13">
      <c r="A27" s="87" t="s">
        <v>94</v>
      </c>
      <c r="B27" s="87"/>
      <c r="G27" s="108"/>
      <c r="H27" s="108"/>
      <c r="I27" s="108"/>
      <c r="J27" s="111"/>
      <c r="K27" s="108"/>
    </row>
    <row r="28" spans="1:13">
      <c r="A28" s="87" t="s">
        <v>93</v>
      </c>
      <c r="G28" s="108"/>
      <c r="H28" s="108"/>
      <c r="I28" s="108"/>
      <c r="J28" s="108"/>
      <c r="K28" s="108"/>
    </row>
    <row r="29" spans="1:13">
      <c r="A29" s="87"/>
      <c r="B29" s="87" t="s">
        <v>95</v>
      </c>
      <c r="G29" s="108"/>
      <c r="H29" s="108"/>
      <c r="I29" s="108"/>
      <c r="J29" s="111"/>
      <c r="K29" s="108"/>
    </row>
    <row r="30" spans="1:13">
      <c r="D30" s="88" t="s">
        <v>96</v>
      </c>
      <c r="G30" s="108">
        <v>1546825196</v>
      </c>
      <c r="H30" s="108">
        <v>1533460196</v>
      </c>
      <c r="I30" s="108">
        <v>-13365000</v>
      </c>
      <c r="J30" s="111">
        <v>1537679757.6800001</v>
      </c>
      <c r="K30" s="108">
        <v>-4219561.6800000668</v>
      </c>
    </row>
    <row r="31" spans="1:13">
      <c r="D31" s="88" t="s">
        <v>38</v>
      </c>
      <c r="G31" s="108">
        <v>1468071332</v>
      </c>
      <c r="H31" s="108">
        <v>1636144676</v>
      </c>
      <c r="I31" s="108">
        <v>168073344</v>
      </c>
      <c r="J31" s="111">
        <v>923930301.75999999</v>
      </c>
      <c r="K31" s="108">
        <v>712214374.24000001</v>
      </c>
    </row>
    <row r="32" spans="1:13">
      <c r="D32" s="88" t="s">
        <v>97</v>
      </c>
      <c r="G32" s="108">
        <v>123623425</v>
      </c>
      <c r="H32" s="108">
        <v>209601425</v>
      </c>
      <c r="I32" s="108">
        <v>85978000</v>
      </c>
      <c r="J32" s="111">
        <v>84314982.189999998</v>
      </c>
      <c r="K32" s="108">
        <v>125286442.81</v>
      </c>
    </row>
    <row r="33" spans="2:11">
      <c r="B33" s="87" t="s">
        <v>98</v>
      </c>
      <c r="G33" s="108"/>
      <c r="H33" s="108"/>
      <c r="I33" s="108"/>
      <c r="J33" s="111"/>
      <c r="K33" s="108"/>
    </row>
    <row r="34" spans="2:11">
      <c r="D34" s="88" t="s">
        <v>96</v>
      </c>
      <c r="G34" s="108">
        <v>3389759000</v>
      </c>
      <c r="H34" s="108">
        <v>3282494425</v>
      </c>
      <c r="I34" s="108">
        <v>-107264575</v>
      </c>
      <c r="J34" s="111">
        <v>2819079555.73</v>
      </c>
      <c r="K34" s="108">
        <v>463414869.26999998</v>
      </c>
    </row>
    <row r="35" spans="2:11">
      <c r="D35" s="88" t="s">
        <v>38</v>
      </c>
      <c r="G35" s="108">
        <v>8604311986</v>
      </c>
      <c r="H35" s="108">
        <v>12086045268.059999</v>
      </c>
      <c r="I35" s="108">
        <v>3481733282.0599995</v>
      </c>
      <c r="J35" s="111">
        <v>6872193395.1900005</v>
      </c>
      <c r="K35" s="108">
        <v>5213851872.8699989</v>
      </c>
    </row>
    <row r="36" spans="2:11">
      <c r="D36" s="88" t="s">
        <v>97</v>
      </c>
      <c r="G36" s="108">
        <v>1673437908</v>
      </c>
      <c r="H36" s="108">
        <v>1348288338.9400001</v>
      </c>
      <c r="I36" s="108">
        <v>-325149569.05999994</v>
      </c>
      <c r="J36" s="111">
        <v>584362108.30000019</v>
      </c>
      <c r="K36" s="108">
        <v>763926230.63999987</v>
      </c>
    </row>
    <row r="37" spans="2:11">
      <c r="B37" s="87" t="s">
        <v>99</v>
      </c>
      <c r="G37" s="108"/>
      <c r="H37" s="108"/>
      <c r="I37" s="108"/>
      <c r="J37" s="111"/>
      <c r="K37" s="108"/>
    </row>
    <row r="38" spans="2:11">
      <c r="D38" s="88" t="s">
        <v>96</v>
      </c>
      <c r="G38" s="108">
        <v>639255695</v>
      </c>
      <c r="H38" s="108">
        <v>613251762</v>
      </c>
      <c r="I38" s="108">
        <v>-26003933</v>
      </c>
      <c r="J38" s="111">
        <v>512559919.22000003</v>
      </c>
      <c r="K38" s="108">
        <v>100691842.77999997</v>
      </c>
    </row>
    <row r="39" spans="2:11">
      <c r="D39" s="88" t="s">
        <v>38</v>
      </c>
      <c r="G39" s="108">
        <v>966900683</v>
      </c>
      <c r="H39" s="108">
        <v>867455332</v>
      </c>
      <c r="I39" s="108">
        <v>-99445351</v>
      </c>
      <c r="J39" s="111">
        <v>489851709.57999998</v>
      </c>
      <c r="K39" s="108">
        <v>377603622.42000002</v>
      </c>
    </row>
    <row r="40" spans="2:11">
      <c r="D40" s="88" t="s">
        <v>97</v>
      </c>
      <c r="G40" s="108">
        <v>131381186</v>
      </c>
      <c r="H40" s="108">
        <v>10324756081</v>
      </c>
      <c r="I40" s="108">
        <v>10193374895</v>
      </c>
      <c r="J40" s="111">
        <v>4153271501.48</v>
      </c>
      <c r="K40" s="108">
        <v>6171484579.5200005</v>
      </c>
    </row>
    <row r="41" spans="2:11">
      <c r="B41" s="87" t="s">
        <v>100</v>
      </c>
      <c r="G41" s="108"/>
      <c r="H41" s="108"/>
      <c r="I41" s="108"/>
      <c r="J41" s="111"/>
      <c r="K41" s="108"/>
    </row>
    <row r="42" spans="2:11">
      <c r="C42" s="88" t="s">
        <v>103</v>
      </c>
      <c r="G42" s="108"/>
      <c r="H42" s="108"/>
      <c r="I42" s="108"/>
      <c r="J42" s="111"/>
      <c r="K42" s="108"/>
    </row>
    <row r="43" spans="2:11">
      <c r="D43" s="88" t="s">
        <v>101</v>
      </c>
      <c r="G43" s="108">
        <v>32268516</v>
      </c>
      <c r="H43" s="108">
        <v>92611432</v>
      </c>
      <c r="I43" s="108">
        <v>60342916</v>
      </c>
      <c r="J43" s="111">
        <v>82405600.519999996</v>
      </c>
      <c r="K43" s="108">
        <v>10205831.480000004</v>
      </c>
    </row>
    <row r="44" spans="2:11">
      <c r="D44" s="88" t="s">
        <v>102</v>
      </c>
      <c r="G44" s="108">
        <v>0</v>
      </c>
      <c r="H44" s="108">
        <v>0</v>
      </c>
      <c r="I44" s="108">
        <v>0</v>
      </c>
      <c r="J44" s="108">
        <v>0</v>
      </c>
      <c r="K44" s="108">
        <v>0</v>
      </c>
    </row>
    <row r="45" spans="2:11">
      <c r="C45" s="88" t="s">
        <v>104</v>
      </c>
      <c r="G45" s="108"/>
      <c r="H45" s="108"/>
      <c r="I45" s="108"/>
      <c r="J45" s="111"/>
      <c r="K45" s="108"/>
    </row>
    <row r="46" spans="2:11">
      <c r="D46" s="88" t="s">
        <v>38</v>
      </c>
      <c r="G46" s="108">
        <v>383007922</v>
      </c>
      <c r="H46" s="108">
        <v>383007922</v>
      </c>
      <c r="I46" s="108">
        <v>0</v>
      </c>
      <c r="J46" s="111">
        <v>233277891</v>
      </c>
      <c r="K46" s="108">
        <v>149730031</v>
      </c>
    </row>
    <row r="47" spans="2:11">
      <c r="D47" s="88" t="s">
        <v>97</v>
      </c>
      <c r="G47" s="108">
        <v>347000000</v>
      </c>
      <c r="H47" s="108">
        <v>347000000</v>
      </c>
      <c r="I47" s="108">
        <v>0</v>
      </c>
      <c r="J47" s="111">
        <v>300088252.01999998</v>
      </c>
      <c r="K47" s="108">
        <v>46911747.980000019</v>
      </c>
    </row>
    <row r="48" spans="2:11">
      <c r="C48" s="88" t="s">
        <v>105</v>
      </c>
      <c r="G48" s="108"/>
      <c r="H48" s="108"/>
      <c r="I48" s="108"/>
      <c r="J48" s="111"/>
      <c r="K48" s="108"/>
    </row>
    <row r="49" spans="1:13">
      <c r="D49" s="88" t="s">
        <v>38</v>
      </c>
      <c r="G49" s="108">
        <v>752639314</v>
      </c>
      <c r="H49" s="108">
        <v>752639314</v>
      </c>
      <c r="I49" s="108">
        <v>0</v>
      </c>
      <c r="J49" s="108">
        <v>0</v>
      </c>
      <c r="K49" s="108">
        <v>752639314</v>
      </c>
    </row>
    <row r="50" spans="1:13">
      <c r="D50" s="88" t="s">
        <v>97</v>
      </c>
      <c r="G50" s="108">
        <v>0</v>
      </c>
      <c r="H50" s="108">
        <v>0</v>
      </c>
      <c r="I50" s="108">
        <v>0</v>
      </c>
      <c r="J50" s="108">
        <v>0</v>
      </c>
      <c r="K50" s="108">
        <v>0</v>
      </c>
    </row>
    <row r="51" spans="1:13">
      <c r="C51" s="88" t="s">
        <v>106</v>
      </c>
      <c r="G51" s="108"/>
      <c r="H51" s="108"/>
      <c r="I51" s="108"/>
      <c r="J51" s="111"/>
      <c r="K51" s="108"/>
    </row>
    <row r="52" spans="1:13">
      <c r="D52" s="88" t="s">
        <v>38</v>
      </c>
      <c r="G52" s="108">
        <v>851500000</v>
      </c>
      <c r="H52" s="108">
        <v>863600000</v>
      </c>
      <c r="I52" s="108">
        <v>12100000</v>
      </c>
      <c r="J52" s="111">
        <v>863600000</v>
      </c>
      <c r="K52" s="108">
        <v>0</v>
      </c>
    </row>
    <row r="53" spans="1:13">
      <c r="D53" s="88" t="s">
        <v>97</v>
      </c>
      <c r="G53" s="108">
        <v>0</v>
      </c>
      <c r="H53" s="108">
        <v>0</v>
      </c>
      <c r="I53" s="108">
        <v>0</v>
      </c>
      <c r="J53" s="108">
        <v>0</v>
      </c>
      <c r="K53" s="108">
        <v>0</v>
      </c>
    </row>
    <row r="54" spans="1:13">
      <c r="C54" s="90" t="s">
        <v>122</v>
      </c>
      <c r="G54" s="108"/>
      <c r="H54" s="108"/>
      <c r="I54" s="108"/>
      <c r="J54" s="111"/>
      <c r="K54" s="108"/>
    </row>
    <row r="55" spans="1:13">
      <c r="C55" s="90"/>
      <c r="D55" s="88" t="s">
        <v>96</v>
      </c>
      <c r="G55" s="108">
        <v>264602762</v>
      </c>
      <c r="H55" s="108">
        <v>411236270</v>
      </c>
      <c r="I55" s="108">
        <v>146633508</v>
      </c>
      <c r="J55" s="111">
        <v>256279959.61000001</v>
      </c>
      <c r="K55" s="108">
        <v>154956310.38999999</v>
      </c>
    </row>
    <row r="56" spans="1:13">
      <c r="D56" s="88" t="s">
        <v>38</v>
      </c>
      <c r="G56" s="108">
        <v>1445787213</v>
      </c>
      <c r="H56" s="108">
        <v>1602752081</v>
      </c>
      <c r="I56" s="108">
        <v>156964868</v>
      </c>
      <c r="J56" s="111">
        <v>909759088.66999996</v>
      </c>
      <c r="K56" s="108">
        <v>692992992.33000004</v>
      </c>
    </row>
    <row r="57" spans="1:13">
      <c r="D57" s="88" t="s">
        <v>97</v>
      </c>
      <c r="G57" s="108">
        <v>101871714</v>
      </c>
      <c r="H57" s="108">
        <v>101871714</v>
      </c>
      <c r="I57" s="108">
        <v>0</v>
      </c>
      <c r="J57" s="111">
        <v>40979262.200000003</v>
      </c>
      <c r="K57" s="108">
        <v>60892451.799999997</v>
      </c>
    </row>
    <row r="58" spans="1:13" s="3" customFormat="1">
      <c r="A58" s="89"/>
      <c r="B58" s="89"/>
      <c r="C58" s="89" t="s">
        <v>107</v>
      </c>
      <c r="D58" s="89"/>
      <c r="E58" s="89"/>
      <c r="F58" s="89"/>
      <c r="G58" s="112">
        <v>22722243852</v>
      </c>
      <c r="H58" s="112">
        <v>36456216237</v>
      </c>
      <c r="I58" s="112">
        <v>13733972385</v>
      </c>
      <c r="J58" s="112">
        <v>20663633285.150002</v>
      </c>
      <c r="K58" s="112">
        <v>15792582951.849997</v>
      </c>
      <c r="L58" s="114"/>
      <c r="M58" s="114"/>
    </row>
    <row r="59" spans="1:13" s="3" customFormat="1">
      <c r="A59" s="115" t="s">
        <v>136</v>
      </c>
      <c r="B59" s="116"/>
      <c r="C59" s="117"/>
      <c r="D59" s="116"/>
      <c r="E59" s="116"/>
      <c r="F59" s="116"/>
      <c r="G59" s="118"/>
      <c r="H59" s="118"/>
      <c r="I59" s="118"/>
      <c r="J59" s="118"/>
      <c r="K59" s="118"/>
      <c r="L59" s="114"/>
      <c r="M59" s="114"/>
    </row>
    <row r="60" spans="1:13" s="3" customFormat="1">
      <c r="A60" s="115"/>
      <c r="B60" s="115" t="s">
        <v>95</v>
      </c>
      <c r="C60" s="117"/>
      <c r="D60" s="116"/>
      <c r="E60" s="116"/>
      <c r="F60" s="116"/>
      <c r="G60" s="118"/>
      <c r="H60" s="118"/>
      <c r="I60" s="118"/>
      <c r="J60" s="118"/>
      <c r="K60" s="118"/>
      <c r="L60" s="114"/>
      <c r="M60" s="114"/>
    </row>
    <row r="61" spans="1:13" s="3" customFormat="1">
      <c r="A61" s="116"/>
      <c r="B61" s="116"/>
      <c r="C61" s="117"/>
      <c r="D61" s="117" t="s">
        <v>97</v>
      </c>
      <c r="E61" s="116"/>
      <c r="F61" s="116"/>
      <c r="G61" s="129">
        <v>97092243.159999996</v>
      </c>
      <c r="H61" s="129">
        <v>97092243.159999996</v>
      </c>
      <c r="I61" s="118">
        <v>0</v>
      </c>
      <c r="J61" s="119">
        <v>92013977.959999993</v>
      </c>
      <c r="K61" s="118">
        <v>5078265.200000003</v>
      </c>
      <c r="L61" s="114"/>
      <c r="M61" s="114"/>
    </row>
    <row r="62" spans="1:13" s="3" customFormat="1">
      <c r="A62" s="116"/>
      <c r="B62" s="115" t="s">
        <v>108</v>
      </c>
      <c r="C62" s="117"/>
      <c r="D62" s="116"/>
      <c r="E62" s="116"/>
      <c r="F62" s="116"/>
      <c r="G62" s="129"/>
      <c r="H62" s="129"/>
      <c r="I62" s="118"/>
      <c r="J62" s="119"/>
      <c r="K62" s="118"/>
      <c r="L62" s="114"/>
      <c r="M62" s="114"/>
    </row>
    <row r="63" spans="1:13" s="3" customFormat="1">
      <c r="A63" s="116"/>
      <c r="B63" s="116"/>
      <c r="C63" s="117"/>
      <c r="D63" s="117" t="s">
        <v>97</v>
      </c>
      <c r="E63" s="116"/>
      <c r="F63" s="116"/>
      <c r="G63" s="129">
        <v>893972067.13999999</v>
      </c>
      <c r="H63" s="129">
        <v>893972067.13999999</v>
      </c>
      <c r="I63" s="118">
        <v>0</v>
      </c>
      <c r="J63" s="119">
        <v>818068812.94000006</v>
      </c>
      <c r="K63" s="118">
        <v>75903254.199999928</v>
      </c>
      <c r="L63" s="114"/>
      <c r="M63" s="114"/>
    </row>
    <row r="64" spans="1:13" s="3" customFormat="1">
      <c r="A64" s="116"/>
      <c r="B64" s="115" t="s">
        <v>98</v>
      </c>
      <c r="C64" s="117"/>
      <c r="D64" s="116"/>
      <c r="E64" s="116"/>
      <c r="F64" s="116"/>
      <c r="G64" s="129"/>
      <c r="H64" s="129"/>
      <c r="I64" s="118"/>
      <c r="J64" s="119"/>
      <c r="K64" s="118"/>
      <c r="L64" s="114"/>
      <c r="M64" s="114"/>
    </row>
    <row r="65" spans="1:13" s="3" customFormat="1">
      <c r="A65" s="116"/>
      <c r="B65" s="116"/>
      <c r="C65" s="117"/>
      <c r="D65" s="117" t="s">
        <v>97</v>
      </c>
      <c r="E65" s="116"/>
      <c r="F65" s="116"/>
      <c r="G65" s="129">
        <v>107864779.81</v>
      </c>
      <c r="H65" s="129">
        <v>107864779.81</v>
      </c>
      <c r="I65" s="118">
        <v>0</v>
      </c>
      <c r="J65" s="119">
        <v>102120231.06999999</v>
      </c>
      <c r="K65" s="118">
        <v>5744548.7400000095</v>
      </c>
      <c r="L65" s="114"/>
      <c r="M65" s="114"/>
    </row>
    <row r="66" spans="1:13" s="3" customFormat="1">
      <c r="A66" s="116"/>
      <c r="B66" s="115" t="s">
        <v>99</v>
      </c>
      <c r="C66" s="117"/>
      <c r="D66" s="116"/>
      <c r="E66" s="116"/>
      <c r="F66" s="116"/>
      <c r="G66" s="129"/>
      <c r="H66" s="129"/>
      <c r="I66" s="118"/>
      <c r="J66" s="119"/>
      <c r="K66" s="118"/>
      <c r="L66" s="114"/>
      <c r="M66" s="114"/>
    </row>
    <row r="67" spans="1:13" s="3" customFormat="1">
      <c r="A67" s="116"/>
      <c r="B67" s="116"/>
      <c r="C67" s="117"/>
      <c r="D67" s="117" t="s">
        <v>97</v>
      </c>
      <c r="E67" s="116"/>
      <c r="F67" s="116"/>
      <c r="G67" s="129">
        <v>3774537386.5300002</v>
      </c>
      <c r="H67" s="129">
        <v>3774537386.5300002</v>
      </c>
      <c r="I67" s="118">
        <v>0</v>
      </c>
      <c r="J67" s="119">
        <v>3418628799.8699999</v>
      </c>
      <c r="K67" s="118">
        <v>355908586.66000032</v>
      </c>
      <c r="L67" s="114"/>
      <c r="M67" s="114"/>
    </row>
    <row r="68" spans="1:13" s="3" customFormat="1">
      <c r="A68" s="116"/>
      <c r="B68" s="115" t="s">
        <v>100</v>
      </c>
      <c r="C68" s="117"/>
      <c r="D68" s="116"/>
      <c r="E68" s="116"/>
      <c r="F68" s="116"/>
      <c r="G68" s="129"/>
      <c r="H68" s="129"/>
      <c r="I68" s="118"/>
      <c r="J68" s="119"/>
      <c r="K68" s="118"/>
      <c r="L68" s="114"/>
      <c r="M68" s="114"/>
    </row>
    <row r="69" spans="1:13" s="3" customFormat="1">
      <c r="A69" s="116"/>
      <c r="B69" s="116"/>
      <c r="C69" s="117"/>
      <c r="D69" s="117" t="s">
        <v>97</v>
      </c>
      <c r="E69" s="116"/>
      <c r="F69" s="116"/>
      <c r="G69" s="129">
        <v>315306107.98000002</v>
      </c>
      <c r="H69" s="129">
        <v>315306107.98000002</v>
      </c>
      <c r="I69" s="118">
        <v>0</v>
      </c>
      <c r="J69" s="119">
        <v>265899476.22999999</v>
      </c>
      <c r="K69" s="118">
        <v>49406631.75000003</v>
      </c>
      <c r="L69" s="114"/>
      <c r="M69" s="114"/>
    </row>
    <row r="70" spans="1:13" s="3" customFormat="1">
      <c r="A70" s="116"/>
      <c r="B70" s="116"/>
      <c r="C70" s="117" t="s">
        <v>122</v>
      </c>
      <c r="D70" s="116"/>
      <c r="E70" s="116"/>
      <c r="F70" s="116"/>
      <c r="G70" s="129"/>
      <c r="H70" s="129"/>
      <c r="I70" s="118"/>
      <c r="J70" s="119"/>
      <c r="K70" s="118"/>
      <c r="L70" s="114"/>
      <c r="M70" s="114"/>
    </row>
    <row r="71" spans="1:13" s="3" customFormat="1">
      <c r="A71" s="116"/>
      <c r="B71" s="116"/>
      <c r="C71" s="117"/>
      <c r="D71" s="117" t="s">
        <v>97</v>
      </c>
      <c r="E71" s="116"/>
      <c r="F71" s="116"/>
      <c r="G71" s="129">
        <v>81222295.799999997</v>
      </c>
      <c r="H71" s="129">
        <v>81222295.799999997</v>
      </c>
      <c r="I71" s="118">
        <v>0</v>
      </c>
      <c r="J71" s="119">
        <v>76145902.309999987</v>
      </c>
      <c r="K71" s="118">
        <v>5076393.4900000095</v>
      </c>
      <c r="L71" s="114"/>
      <c r="M71" s="114"/>
    </row>
    <row r="72" spans="1:13" s="3" customFormat="1">
      <c r="A72" s="120"/>
      <c r="B72" s="120"/>
      <c r="C72" s="121" t="s">
        <v>137</v>
      </c>
      <c r="D72" s="120"/>
      <c r="E72" s="120"/>
      <c r="F72" s="120"/>
      <c r="G72" s="122">
        <v>5269994880.420001</v>
      </c>
      <c r="H72" s="122">
        <v>5269994880.420001</v>
      </c>
      <c r="I72" s="122">
        <v>0</v>
      </c>
      <c r="J72" s="122">
        <v>4772877200.3800001</v>
      </c>
      <c r="K72" s="122">
        <v>497117680.04000032</v>
      </c>
      <c r="L72" s="114"/>
      <c r="M72" s="114"/>
    </row>
    <row r="73" spans="1:13">
      <c r="A73" s="89" t="s">
        <v>123</v>
      </c>
      <c r="B73" s="91"/>
      <c r="C73" s="91"/>
      <c r="D73" s="91"/>
      <c r="E73" s="91"/>
      <c r="F73" s="91"/>
      <c r="G73" s="112">
        <v>27992238732.420002</v>
      </c>
      <c r="H73" s="112">
        <v>41726211117.419998</v>
      </c>
      <c r="I73" s="112">
        <v>13733972385</v>
      </c>
      <c r="J73" s="112">
        <v>25436510485.530003</v>
      </c>
      <c r="K73" s="112">
        <v>16289700631.889997</v>
      </c>
    </row>
    <row r="74" spans="1:13" ht="13.8" thickBot="1">
      <c r="A74" s="92" t="s">
        <v>43</v>
      </c>
      <c r="B74" s="93"/>
      <c r="C74" s="93"/>
      <c r="D74" s="93"/>
      <c r="E74" s="93"/>
      <c r="F74" s="93"/>
      <c r="G74" s="123">
        <v>-5269994880.420002</v>
      </c>
      <c r="H74" s="123">
        <v>-7580551265.4199982</v>
      </c>
      <c r="I74" s="123">
        <v>-2310556385</v>
      </c>
      <c r="J74" s="123">
        <v>-4876328287.4300041</v>
      </c>
      <c r="K74" s="123">
        <v>-2704222977.9899979</v>
      </c>
    </row>
    <row r="75" spans="1:13" ht="13.8" thickTop="1">
      <c r="G75" s="108"/>
      <c r="H75" s="108"/>
      <c r="I75" s="108"/>
      <c r="J75" s="108"/>
      <c r="K75" s="108"/>
    </row>
    <row r="76" spans="1:13">
      <c r="G76" s="108"/>
      <c r="H76" s="108"/>
      <c r="I76" s="108"/>
      <c r="J76" s="108"/>
      <c r="K76" s="108"/>
    </row>
    <row r="77" spans="1:13">
      <c r="G77" s="108"/>
      <c r="H77" s="108"/>
      <c r="I77" s="108"/>
      <c r="J77" s="108"/>
      <c r="K77" s="108"/>
    </row>
    <row r="78" spans="1:13">
      <c r="G78" s="108"/>
      <c r="H78" s="108"/>
      <c r="I78" s="108"/>
      <c r="J78" s="108"/>
      <c r="K78" s="108"/>
    </row>
    <row r="79" spans="1:13">
      <c r="G79" s="108"/>
      <c r="H79" s="108"/>
      <c r="I79" s="108"/>
      <c r="J79" s="108"/>
      <c r="K79" s="108"/>
    </row>
    <row r="80" spans="1:13">
      <c r="G80" s="108"/>
      <c r="H80" s="108"/>
      <c r="I80" s="108"/>
      <c r="J80" s="108"/>
      <c r="K80" s="108"/>
    </row>
    <row r="81" spans="7:11">
      <c r="G81" s="108"/>
      <c r="H81" s="108"/>
      <c r="I81" s="108"/>
      <c r="J81" s="108"/>
      <c r="K81" s="108"/>
    </row>
    <row r="82" spans="7:11">
      <c r="G82" s="108"/>
      <c r="H82" s="108"/>
    </row>
    <row r="83" spans="7:11">
      <c r="G83" s="108"/>
      <c r="H83" s="108"/>
    </row>
    <row r="84" spans="7:11">
      <c r="G84" s="108"/>
      <c r="H84" s="108"/>
    </row>
    <row r="85" spans="7:11">
      <c r="G85" s="108"/>
      <c r="H85" s="108"/>
    </row>
    <row r="86" spans="7:11">
      <c r="G86" s="108"/>
      <c r="H86" s="108"/>
    </row>
    <row r="87" spans="7:11">
      <c r="G87" s="108"/>
      <c r="H87" s="108"/>
    </row>
    <row r="88" spans="7:11">
      <c r="G88" s="108"/>
      <c r="H88" s="108"/>
    </row>
    <row r="89" spans="7:11">
      <c r="G89" s="108"/>
      <c r="H89" s="108"/>
    </row>
    <row r="90" spans="7:11">
      <c r="G90" s="108"/>
      <c r="H90" s="108"/>
    </row>
  </sheetData>
  <sheetProtection algorithmName="SHA-512" hashValue="/uU/cOIYVQW4KOXw6gtJIg203yaGYzpNZNinRtz58wcn/zR0L79oemXYf4ZysRBkWl1Wg7GH30f2nK0K53bjAQ==" saltValue="xtK4U8WbF4+ODl8M3GB4kQ==" spinCount="100000" sheet="1" objects="1" scenarios="1" selectLockedCells="1" selectUnlockedCells="1"/>
  <mergeCells count="11">
    <mergeCell ref="A8:B8"/>
    <mergeCell ref="A25:B25"/>
    <mergeCell ref="A21:B21"/>
    <mergeCell ref="A1:K1"/>
    <mergeCell ref="A2:K2"/>
    <mergeCell ref="A3:K3"/>
    <mergeCell ref="A5:F6"/>
    <mergeCell ref="G5:H5"/>
    <mergeCell ref="I5:I6"/>
    <mergeCell ref="J5:J6"/>
    <mergeCell ref="K5:K6"/>
  </mergeCells>
  <pageMargins left="1.5" right="1" top="1.5" bottom="1" header="0.5" footer="0.5"/>
  <pageSetup scale="72" firstPageNumber="10" orientation="landscape" useFirstPageNumber="1" horizontalDpi="1200" verticalDpi="1200" r:id="rId1"/>
  <headerFooter scaleWithDoc="0" alignWithMargins="0">
    <oddFooter>&amp;C&amp;"Arial,Regular"&amp;10&amp;P</oddFooter>
    <firstFooter>&amp;C&amp;"Arial,Regular"&amp;10
9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</vt:lpstr>
      <vt:lpstr>SFPe</vt:lpstr>
      <vt:lpstr>SCNAE</vt:lpstr>
      <vt:lpstr>SCF</vt:lpstr>
      <vt:lpstr>SCBAA</vt:lpstr>
      <vt:lpstr>SCBAA!Print_Area</vt:lpstr>
      <vt:lpstr>SCF!Print_Area</vt:lpstr>
      <vt:lpstr>SCNAE!Print_Area</vt:lpstr>
      <vt:lpstr>SFPe!Print_Area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City of Manila</dc:creator>
  <cp:lastModifiedBy>Riziel C. Garcia</cp:lastModifiedBy>
  <cp:lastPrinted>2022-07-29T02:13:24Z</cp:lastPrinted>
  <dcterms:created xsi:type="dcterms:W3CDTF">2020-09-29T05:05:58Z</dcterms:created>
  <dcterms:modified xsi:type="dcterms:W3CDTF">2022-07-29T02:14:05Z</dcterms:modified>
</cp:coreProperties>
</file>