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Y:\Files WADAS\AARS\Riziel\AAR\2022\NCR\Manila-City-Annual-Audit-Report-2022\"/>
    </mc:Choice>
  </mc:AlternateContent>
  <xr:revisionPtr revIDLastSave="0" documentId="13_ncr:1_{1B1B2AE0-AF82-4301-92F1-960247519A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FPo" sheetId="1" r:id="rId1"/>
    <sheet name="SFPe" sheetId="2" r:id="rId2"/>
    <sheet name="SCNAE" sheetId="3" r:id="rId3"/>
    <sheet name="SCF" sheetId="4" r:id="rId4"/>
    <sheet name="SCBAA" sheetId="7" r:id="rId5"/>
    <sheet name="NFS" sheetId="8" state="hidden" r:id="rId6"/>
    <sheet name="PPE" sheetId="9" state="hidden" r:id="rId7"/>
    <sheet name="Recon_BAA-FP" sheetId="10" state="hidden" r:id="rId8"/>
    <sheet name="Restatement" sheetId="11" state="hidden" r:id="rId9"/>
    <sheet name="ExecSum" sheetId="13" state="hidden" r:id="rId10"/>
    <sheet name="ExecSum-revised" sheetId="14" state="hidden" r:id="rId11"/>
    <sheet name="Part2" sheetId="12" state="hidden" r:id="rId12"/>
    <sheet name="051523" sheetId="15" state="hidden" r:id="rId13"/>
  </sheets>
  <externalReferences>
    <externalReference r:id="rId14"/>
    <externalReference r:id="rId15"/>
    <externalReference r:id="rId16"/>
  </externalReferences>
  <definedNames>
    <definedName name="_xlnm._FilterDatabase" localSheetId="8" hidden="1">Restatement!$A$131:$L$265</definedName>
    <definedName name="_Hlk134610415" localSheetId="12">'051523'!$B$63</definedName>
    <definedName name="OLE_LINK11" localSheetId="12">'051523'!$E$130</definedName>
    <definedName name="OLE_LINK13" localSheetId="12">'051523'!$E$11</definedName>
    <definedName name="OLE_LINK3" localSheetId="8">Restatement!$C$47</definedName>
    <definedName name="OLE_LINK4" localSheetId="8">Restatement!$C$105</definedName>
    <definedName name="OLE_LINK5" localSheetId="8">Restatement!$C$110</definedName>
    <definedName name="OLE_LINK6" localSheetId="8">Restatement!$C$114</definedName>
    <definedName name="OLE_LINK7" localSheetId="8">Restatement!$C$118</definedName>
    <definedName name="OLE_LINK8" localSheetId="8">Restatement!$C$119</definedName>
    <definedName name="OLE_LINK9" localSheetId="12">'051523'!$D$130</definedName>
    <definedName name="_xlnm.Print_Area" localSheetId="4">SCBAA!$A$1:$K$78</definedName>
    <definedName name="_xlnm.Print_Area" localSheetId="3">SCF!$A$1:$E$45</definedName>
    <definedName name="_xlnm.Print_Area" localSheetId="2">SCNAE!$A$1:$E$16</definedName>
    <definedName name="_xlnm.Print_Area" localSheetId="1">SFPe!$A$1:$E$30</definedName>
    <definedName name="_xlnm.Print_Area" localSheetId="0">SFPo!$A$1:$E$44</definedName>
    <definedName name="_xlnm.Print_Titles" localSheetId="4">SCBAA!$1:$7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6" i="15" l="1"/>
  <c r="E166" i="15"/>
  <c r="G166" i="15" s="1"/>
  <c r="F162" i="15"/>
  <c r="H162" i="15" s="1"/>
  <c r="E162" i="15"/>
  <c r="G162" i="15" s="1"/>
  <c r="F159" i="15"/>
  <c r="E159" i="15"/>
  <c r="H166" i="15"/>
  <c r="H159" i="15"/>
  <c r="G159" i="15"/>
  <c r="G153" i="15"/>
  <c r="H149" i="15"/>
  <c r="F146" i="15"/>
  <c r="H146" i="15" s="1"/>
  <c r="F153" i="15"/>
  <c r="H153" i="15" s="1"/>
  <c r="E153" i="15"/>
  <c r="F149" i="15"/>
  <c r="E149" i="15"/>
  <c r="G149" i="15" s="1"/>
  <c r="E146" i="15"/>
  <c r="G146" i="15" s="1"/>
  <c r="F136" i="15"/>
  <c r="G136" i="15" s="1"/>
  <c r="F135" i="15"/>
  <c r="G135" i="15" s="1"/>
  <c r="F133" i="15"/>
  <c r="G133" i="15" s="1"/>
  <c r="F130" i="15"/>
  <c r="G130" i="15" s="1"/>
  <c r="D125" i="15"/>
  <c r="D126" i="15" s="1"/>
  <c r="E125" i="15"/>
  <c r="E126" i="15" s="1"/>
  <c r="F125" i="15"/>
  <c r="F126" i="15" s="1"/>
  <c r="G125" i="15"/>
  <c r="G126" i="15" s="1"/>
  <c r="C125" i="15"/>
  <c r="C126" i="15" s="1"/>
  <c r="C104" i="15"/>
  <c r="C105" i="15" s="1"/>
  <c r="G137" i="15" l="1"/>
  <c r="E167" i="15"/>
  <c r="F67" i="15"/>
  <c r="E67" i="15"/>
  <c r="F64" i="15"/>
  <c r="E64" i="15"/>
  <c r="E61" i="15"/>
  <c r="G61" i="15" s="1"/>
  <c r="F61" i="15"/>
  <c r="H61" i="15" s="1"/>
  <c r="F55" i="15"/>
  <c r="H55" i="15" s="1"/>
  <c r="E55" i="15"/>
  <c r="G55" i="15" s="1"/>
  <c r="F48" i="15"/>
  <c r="H48" i="15" s="1"/>
  <c r="E48" i="15"/>
  <c r="G48" i="15" s="1"/>
  <c r="F36" i="15"/>
  <c r="F37" i="15"/>
  <c r="F38" i="15"/>
  <c r="F39" i="15"/>
  <c r="F40" i="15"/>
  <c r="F41" i="15"/>
  <c r="F35" i="15"/>
  <c r="C32" i="15"/>
  <c r="C24" i="15"/>
  <c r="F16" i="15"/>
  <c r="F15" i="15"/>
  <c r="F14" i="15"/>
  <c r="F11" i="15"/>
  <c r="F10" i="15"/>
  <c r="F9" i="15"/>
  <c r="F4" i="15"/>
  <c r="F5" i="15"/>
  <c r="F6" i="15"/>
  <c r="F3" i="15"/>
  <c r="E68" i="15" l="1"/>
  <c r="G68" i="15" s="1"/>
  <c r="F68" i="15"/>
  <c r="H68" i="15" s="1"/>
  <c r="M23" i="13"/>
  <c r="I25" i="14"/>
  <c r="I26" i="14" s="1"/>
  <c r="H25" i="14"/>
  <c r="H26" i="14" s="1"/>
  <c r="G25" i="14"/>
  <c r="G26" i="14" s="1"/>
  <c r="J24" i="14"/>
  <c r="O23" i="14"/>
  <c r="N23" i="14"/>
  <c r="M23" i="14"/>
  <c r="P23" i="14" s="1"/>
  <c r="J23" i="14"/>
  <c r="B23" i="14"/>
  <c r="C23" i="14" s="1"/>
  <c r="O22" i="14"/>
  <c r="N22" i="14"/>
  <c r="M22" i="14"/>
  <c r="P22" i="14" s="1"/>
  <c r="J22" i="14"/>
  <c r="B22" i="14"/>
  <c r="C22" i="14" s="1"/>
  <c r="O21" i="14"/>
  <c r="N21" i="14"/>
  <c r="M21" i="14"/>
  <c r="P21" i="14" s="1"/>
  <c r="J21" i="14"/>
  <c r="B21" i="14"/>
  <c r="C21" i="14" s="1"/>
  <c r="O20" i="14"/>
  <c r="N20" i="14"/>
  <c r="M20" i="14"/>
  <c r="P20" i="14" s="1"/>
  <c r="J20" i="14"/>
  <c r="B20" i="14"/>
  <c r="C20" i="14" s="1"/>
  <c r="O19" i="14"/>
  <c r="N19" i="14"/>
  <c r="M19" i="14"/>
  <c r="P19" i="14" s="1"/>
  <c r="J19" i="14"/>
  <c r="B19" i="14"/>
  <c r="C19" i="14" s="1"/>
  <c r="O18" i="14"/>
  <c r="K18" i="14"/>
  <c r="N18" i="14" s="1"/>
  <c r="J18" i="14"/>
  <c r="B18" i="14"/>
  <c r="C18" i="14" s="1"/>
  <c r="O14" i="14"/>
  <c r="K14" i="14"/>
  <c r="M14" i="14" s="1"/>
  <c r="P14" i="14" s="1"/>
  <c r="O13" i="14"/>
  <c r="K13" i="14"/>
  <c r="N13" i="14" s="1"/>
  <c r="D12" i="14"/>
  <c r="D13" i="14" s="1"/>
  <c r="C12" i="14"/>
  <c r="C13" i="14" s="1"/>
  <c r="B12" i="14"/>
  <c r="B13" i="14" s="1"/>
  <c r="L8" i="14"/>
  <c r="O8" i="14" s="1"/>
  <c r="K8" i="14"/>
  <c r="N8" i="14" s="1"/>
  <c r="L7" i="14"/>
  <c r="O7" i="14" s="1"/>
  <c r="K7" i="14"/>
  <c r="N7" i="14" s="1"/>
  <c r="L6" i="14"/>
  <c r="O6" i="14" s="1"/>
  <c r="K6" i="14"/>
  <c r="N6" i="14" s="1"/>
  <c r="L5" i="14"/>
  <c r="M5" i="14" s="1"/>
  <c r="P5" i="14" s="1"/>
  <c r="K5" i="14"/>
  <c r="N5" i="14" s="1"/>
  <c r="L4" i="14"/>
  <c r="O4" i="14" s="1"/>
  <c r="K4" i="14"/>
  <c r="N4" i="14" s="1"/>
  <c r="L3" i="14"/>
  <c r="O3" i="14" s="1"/>
  <c r="K3" i="14"/>
  <c r="N3" i="14" s="1"/>
  <c r="L2" i="14"/>
  <c r="O2" i="14" s="1"/>
  <c r="K2" i="14"/>
  <c r="N2" i="14" s="1"/>
  <c r="I25" i="13"/>
  <c r="I26" i="13" s="1"/>
  <c r="H25" i="13"/>
  <c r="H26" i="13" s="1"/>
  <c r="G25" i="13"/>
  <c r="G26" i="13" s="1"/>
  <c r="J24" i="13"/>
  <c r="P23" i="13"/>
  <c r="O23" i="13"/>
  <c r="N23" i="13"/>
  <c r="J23" i="13"/>
  <c r="B23" i="13"/>
  <c r="C23" i="13" s="1"/>
  <c r="O22" i="13"/>
  <c r="N22" i="13"/>
  <c r="M22" i="13"/>
  <c r="P22" i="13" s="1"/>
  <c r="J22" i="13"/>
  <c r="B22" i="13"/>
  <c r="C22" i="13" s="1"/>
  <c r="P21" i="13"/>
  <c r="O21" i="13"/>
  <c r="N21" i="13"/>
  <c r="M21" i="13"/>
  <c r="J21" i="13"/>
  <c r="B21" i="13"/>
  <c r="C21" i="13" s="1"/>
  <c r="O20" i="13"/>
  <c r="N20" i="13"/>
  <c r="M20" i="13"/>
  <c r="P20" i="13" s="1"/>
  <c r="J20" i="13"/>
  <c r="B20" i="13"/>
  <c r="C20" i="13" s="1"/>
  <c r="P19" i="13"/>
  <c r="O19" i="13"/>
  <c r="N19" i="13"/>
  <c r="M19" i="13"/>
  <c r="J19" i="13"/>
  <c r="B19" i="13"/>
  <c r="C19" i="13" s="1"/>
  <c r="O18" i="13"/>
  <c r="K18" i="13"/>
  <c r="M18" i="13" s="1"/>
  <c r="P18" i="13" s="1"/>
  <c r="J18" i="13"/>
  <c r="B18" i="13"/>
  <c r="C18" i="13" s="1"/>
  <c r="O14" i="13"/>
  <c r="K14" i="13"/>
  <c r="M14" i="13" s="1"/>
  <c r="P14" i="13" s="1"/>
  <c r="O13" i="13"/>
  <c r="K13" i="13"/>
  <c r="N13" i="13" s="1"/>
  <c r="D12" i="13"/>
  <c r="D13" i="13" s="1"/>
  <c r="C12" i="13"/>
  <c r="C13" i="13" s="1"/>
  <c r="B12" i="13"/>
  <c r="B13" i="13" s="1"/>
  <c r="L8" i="13"/>
  <c r="O8" i="13" s="1"/>
  <c r="K8" i="13"/>
  <c r="N8" i="13" s="1"/>
  <c r="O7" i="13"/>
  <c r="L7" i="13"/>
  <c r="K7" i="13"/>
  <c r="N7" i="13" s="1"/>
  <c r="L6" i="13"/>
  <c r="O6" i="13" s="1"/>
  <c r="K6" i="13"/>
  <c r="N6" i="13" s="1"/>
  <c r="L5" i="13"/>
  <c r="O5" i="13" s="1"/>
  <c r="K5" i="13"/>
  <c r="N5" i="13" s="1"/>
  <c r="L4" i="13"/>
  <c r="O4" i="13" s="1"/>
  <c r="K4" i="13"/>
  <c r="N4" i="13" s="1"/>
  <c r="L3" i="13"/>
  <c r="O3" i="13" s="1"/>
  <c r="K3" i="13"/>
  <c r="N3" i="13" s="1"/>
  <c r="L2" i="13"/>
  <c r="O2" i="13" s="1"/>
  <c r="K2" i="13"/>
  <c r="N2" i="13" s="1"/>
  <c r="M5" i="13" l="1"/>
  <c r="P5" i="13" s="1"/>
  <c r="N14" i="13"/>
  <c r="N14" i="14"/>
  <c r="M7" i="13"/>
  <c r="P7" i="13" s="1"/>
  <c r="M7" i="14"/>
  <c r="P7" i="14" s="1"/>
  <c r="M3" i="13"/>
  <c r="P3" i="13" s="1"/>
  <c r="N18" i="13"/>
  <c r="O5" i="14"/>
  <c r="M18" i="14"/>
  <c r="P18" i="14" s="1"/>
  <c r="M3" i="14"/>
  <c r="P3" i="14" s="1"/>
  <c r="M13" i="14"/>
  <c r="P13" i="14" s="1"/>
  <c r="M2" i="14"/>
  <c r="P2" i="14" s="1"/>
  <c r="M4" i="14"/>
  <c r="P4" i="14" s="1"/>
  <c r="M6" i="14"/>
  <c r="P6" i="14" s="1"/>
  <c r="M8" i="14"/>
  <c r="P8" i="14" s="1"/>
  <c r="M13" i="13"/>
  <c r="P13" i="13" s="1"/>
  <c r="M2" i="13"/>
  <c r="P2" i="13" s="1"/>
  <c r="M4" i="13"/>
  <c r="P4" i="13" s="1"/>
  <c r="M6" i="13"/>
  <c r="P6" i="13" s="1"/>
  <c r="M8" i="13"/>
  <c r="P8" i="13" s="1"/>
  <c r="J27" i="7" l="1"/>
  <c r="H27" i="7"/>
  <c r="K27" i="7" s="1"/>
  <c r="G27" i="7"/>
  <c r="C152" i="12"/>
  <c r="B152" i="12"/>
  <c r="I27" i="7" l="1"/>
  <c r="B189" i="12"/>
  <c r="C188" i="12" s="1"/>
  <c r="C187" i="12"/>
  <c r="F182" i="12"/>
  <c r="E182" i="12"/>
  <c r="D182" i="12"/>
  <c r="C182" i="12"/>
  <c r="B182" i="12"/>
  <c r="G181" i="12"/>
  <c r="G180" i="12"/>
  <c r="G179" i="12"/>
  <c r="G178" i="12"/>
  <c r="F170" i="12"/>
  <c r="E169" i="12"/>
  <c r="E170" i="12" s="1"/>
  <c r="D169" i="12"/>
  <c r="D170" i="12" s="1"/>
  <c r="C169" i="12"/>
  <c r="C170" i="12" s="1"/>
  <c r="B169" i="12"/>
  <c r="B170" i="12" s="1"/>
  <c r="E167" i="12"/>
  <c r="E168" i="12" s="1"/>
  <c r="D167" i="12"/>
  <c r="D168" i="12" s="1"/>
  <c r="C167" i="12"/>
  <c r="C168" i="12" s="1"/>
  <c r="B167" i="12"/>
  <c r="B168" i="12" s="1"/>
  <c r="E165" i="12"/>
  <c r="E166" i="12" s="1"/>
  <c r="D165" i="12"/>
  <c r="D166" i="12" s="1"/>
  <c r="C165" i="12"/>
  <c r="C166" i="12" s="1"/>
  <c r="B165" i="12"/>
  <c r="B166" i="12" s="1"/>
  <c r="E161" i="12"/>
  <c r="E162" i="12" s="1"/>
  <c r="D161" i="12"/>
  <c r="D162" i="12" s="1"/>
  <c r="C161" i="12"/>
  <c r="C162" i="12" s="1"/>
  <c r="B161" i="12"/>
  <c r="B162" i="12" s="1"/>
  <c r="E159" i="12"/>
  <c r="E160" i="12" s="1"/>
  <c r="D159" i="12"/>
  <c r="D160" i="12" s="1"/>
  <c r="C159" i="12"/>
  <c r="C160" i="12" s="1"/>
  <c r="B159" i="12"/>
  <c r="B160" i="12" s="1"/>
  <c r="D144" i="12"/>
  <c r="C144" i="12"/>
  <c r="D142" i="12"/>
  <c r="D143" i="12" s="1"/>
  <c r="C142" i="12"/>
  <c r="C143" i="12" s="1"/>
  <c r="B142" i="12"/>
  <c r="B143" i="12" s="1"/>
  <c r="B135" i="12"/>
  <c r="C135" i="12" s="1"/>
  <c r="B134" i="12"/>
  <c r="C134" i="12" s="1"/>
  <c r="B133" i="12"/>
  <c r="C133" i="12" s="1"/>
  <c r="G132" i="12"/>
  <c r="G133" i="12" s="1"/>
  <c r="F132" i="12"/>
  <c r="F133" i="12" s="1"/>
  <c r="E132" i="12"/>
  <c r="E133" i="12" s="1"/>
  <c r="D132" i="12"/>
  <c r="C132" i="12"/>
  <c r="B132" i="12"/>
  <c r="H130" i="12"/>
  <c r="H129" i="12"/>
  <c r="H128" i="12"/>
  <c r="C124" i="12"/>
  <c r="D122" i="12" s="1"/>
  <c r="E119" i="12"/>
  <c r="E120" i="12" s="1"/>
  <c r="D119" i="12"/>
  <c r="D120" i="12" s="1"/>
  <c r="C119" i="12"/>
  <c r="C120" i="12" s="1"/>
  <c r="B119" i="12"/>
  <c r="B120" i="12" s="1"/>
  <c r="B124" i="12" s="1"/>
  <c r="F117" i="12"/>
  <c r="G117" i="12" s="1"/>
  <c r="F115" i="12"/>
  <c r="G115" i="12" s="1"/>
  <c r="F114" i="12"/>
  <c r="G114" i="12" s="1"/>
  <c r="C107" i="12"/>
  <c r="C105" i="12"/>
  <c r="C104" i="12"/>
  <c r="D104" i="12" s="1"/>
  <c r="F94" i="12"/>
  <c r="D93" i="12"/>
  <c r="C93" i="12"/>
  <c r="B93" i="12"/>
  <c r="E92" i="12"/>
  <c r="E93" i="12" s="1"/>
  <c r="F91" i="12"/>
  <c r="F89" i="12"/>
  <c r="E89" i="12"/>
  <c r="E90" i="12" s="1"/>
  <c r="D89" i="12"/>
  <c r="D90" i="12" s="1"/>
  <c r="C89" i="12"/>
  <c r="C90" i="12" s="1"/>
  <c r="B89" i="12"/>
  <c r="B90" i="12" s="1"/>
  <c r="F87" i="12"/>
  <c r="G87" i="12" s="1"/>
  <c r="F86" i="12"/>
  <c r="G86" i="12" s="1"/>
  <c r="F85" i="12"/>
  <c r="G85" i="12" s="1"/>
  <c r="F84" i="12"/>
  <c r="G84" i="12" s="1"/>
  <c r="F83" i="12"/>
  <c r="G83" i="12" s="1"/>
  <c r="F82" i="12"/>
  <c r="G82" i="12" s="1"/>
  <c r="F81" i="12"/>
  <c r="G81" i="12" s="1"/>
  <c r="F80" i="12"/>
  <c r="G80" i="12" s="1"/>
  <c r="F79" i="12"/>
  <c r="G79" i="12" s="1"/>
  <c r="F78" i="12"/>
  <c r="F88" i="12" s="1"/>
  <c r="C73" i="12"/>
  <c r="C74" i="12" s="1"/>
  <c r="E72" i="12"/>
  <c r="G72" i="12" s="1"/>
  <c r="D72" i="12"/>
  <c r="F72" i="12" s="1"/>
  <c r="E71" i="12"/>
  <c r="G71" i="12" s="1"/>
  <c r="D71" i="12"/>
  <c r="F71" i="12" s="1"/>
  <c r="E67" i="12"/>
  <c r="G67" i="12" s="1"/>
  <c r="D67" i="12"/>
  <c r="F67" i="12" s="1"/>
  <c r="E65" i="12"/>
  <c r="G65" i="12" s="1"/>
  <c r="D65" i="12"/>
  <c r="F65" i="12" s="1"/>
  <c r="E62" i="12"/>
  <c r="G62" i="12" s="1"/>
  <c r="D62" i="12"/>
  <c r="F62" i="12" s="1"/>
  <c r="E61" i="12"/>
  <c r="G61" i="12" s="1"/>
  <c r="D61" i="12"/>
  <c r="F61" i="12" s="1"/>
  <c r="E57" i="12"/>
  <c r="G57" i="12" s="1"/>
  <c r="D57" i="12"/>
  <c r="F57" i="12" s="1"/>
  <c r="E54" i="12"/>
  <c r="G54" i="12" s="1"/>
  <c r="D54" i="12"/>
  <c r="F54" i="12" s="1"/>
  <c r="B48" i="12"/>
  <c r="C46" i="12"/>
  <c r="C47" i="12" s="1"/>
  <c r="B46" i="12"/>
  <c r="B49" i="12" s="1"/>
  <c r="E43" i="12"/>
  <c r="F43" i="12" s="1"/>
  <c r="E42" i="12"/>
  <c r="F42" i="12" s="1"/>
  <c r="E41" i="12"/>
  <c r="E39" i="12"/>
  <c r="F39" i="12" s="1"/>
  <c r="E38" i="12"/>
  <c r="F38" i="12" s="1"/>
  <c r="E37" i="12"/>
  <c r="F37" i="12" s="1"/>
  <c r="E36" i="12"/>
  <c r="F36" i="12" s="1"/>
  <c r="E35" i="12"/>
  <c r="F35" i="12" s="1"/>
  <c r="E34" i="12"/>
  <c r="F34" i="12" s="1"/>
  <c r="E33" i="12"/>
  <c r="F33" i="12" s="1"/>
  <c r="E32" i="12"/>
  <c r="F32" i="12" s="1"/>
  <c r="E31" i="12"/>
  <c r="F31" i="12" s="1"/>
  <c r="E30" i="12"/>
  <c r="F30" i="12" s="1"/>
  <c r="D26" i="12"/>
  <c r="D22" i="12"/>
  <c r="D27" i="12" s="1"/>
  <c r="E27" i="12" s="1"/>
  <c r="E20" i="12"/>
  <c r="G19" i="12"/>
  <c r="F19" i="12" s="1"/>
  <c r="G17" i="12"/>
  <c r="E17" i="12"/>
  <c r="E16" i="12"/>
  <c r="E15" i="12"/>
  <c r="G14" i="12"/>
  <c r="E14" i="12"/>
  <c r="E13" i="12"/>
  <c r="G12" i="12"/>
  <c r="E12" i="12"/>
  <c r="G11" i="12"/>
  <c r="G18" i="12" s="1"/>
  <c r="E11" i="12"/>
  <c r="E10" i="12"/>
  <c r="E9" i="12"/>
  <c r="E8" i="12"/>
  <c r="E7" i="12"/>
  <c r="E6" i="12"/>
  <c r="E5" i="12"/>
  <c r="E4" i="12"/>
  <c r="E18" i="12" l="1"/>
  <c r="G20" i="12"/>
  <c r="B47" i="12"/>
  <c r="G78" i="12"/>
  <c r="E44" i="12"/>
  <c r="F44" i="12" s="1"/>
  <c r="C106" i="12"/>
  <c r="C108" i="12" s="1"/>
  <c r="D108" i="12" s="1"/>
  <c r="E40" i="12"/>
  <c r="E45" i="12" s="1"/>
  <c r="F45" i="12" s="1"/>
  <c r="C186" i="12"/>
  <c r="F40" i="12"/>
  <c r="F162" i="12"/>
  <c r="G88" i="12"/>
  <c r="F90" i="12"/>
  <c r="E21" i="12"/>
  <c r="E19" i="12"/>
  <c r="E123" i="12"/>
  <c r="E121" i="12"/>
  <c r="E122" i="12"/>
  <c r="F169" i="12"/>
  <c r="F171" i="12" s="1"/>
  <c r="F41" i="12"/>
  <c r="F116" i="12"/>
  <c r="G116" i="12" s="1"/>
  <c r="D121" i="12"/>
  <c r="D123" i="12"/>
  <c r="E36" i="1"/>
  <c r="D36" i="1"/>
  <c r="D30" i="1"/>
  <c r="C109" i="12" l="1"/>
  <c r="B24" i="10"/>
  <c r="J343" i="8"/>
  <c r="J342" i="8"/>
  <c r="C740" i="8" l="1"/>
  <c r="I115" i="11"/>
  <c r="I41" i="11"/>
  <c r="L41" i="11" s="1"/>
  <c r="I277" i="11"/>
  <c r="L277" i="11" s="1"/>
  <c r="G277" i="11"/>
  <c r="F277" i="11"/>
  <c r="K277" i="11" s="1"/>
  <c r="I271" i="11"/>
  <c r="L271" i="11" s="1"/>
  <c r="I123" i="11"/>
  <c r="L123" i="11" s="1"/>
  <c r="G271" i="11"/>
  <c r="F271" i="11"/>
  <c r="K271" i="11" s="1"/>
  <c r="F123" i="11"/>
  <c r="K123" i="11" s="1"/>
  <c r="I261" i="11"/>
  <c r="L261" i="11" s="1"/>
  <c r="I262" i="11"/>
  <c r="F262" i="11"/>
  <c r="F261" i="11"/>
  <c r="K261" i="11" s="1"/>
  <c r="I254" i="11"/>
  <c r="L254" i="11" s="1"/>
  <c r="I255" i="11"/>
  <c r="L255" i="11" s="1"/>
  <c r="I256" i="11"/>
  <c r="I257" i="11"/>
  <c r="I258" i="11"/>
  <c r="L258" i="11" s="1"/>
  <c r="I259" i="11"/>
  <c r="L259" i="11" s="1"/>
  <c r="I253" i="11"/>
  <c r="L253" i="11" s="1"/>
  <c r="F254" i="11"/>
  <c r="K254" i="11" s="1"/>
  <c r="F255" i="11"/>
  <c r="K255" i="11" s="1"/>
  <c r="F256" i="11"/>
  <c r="K256" i="11" s="1"/>
  <c r="F257" i="11"/>
  <c r="F258" i="11"/>
  <c r="K258" i="11" s="1"/>
  <c r="F259" i="11"/>
  <c r="K259" i="11" s="1"/>
  <c r="F253" i="11"/>
  <c r="L249" i="11"/>
  <c r="F249" i="11"/>
  <c r="K249" i="11" s="1"/>
  <c r="F250" i="11"/>
  <c r="K250" i="11" s="1"/>
  <c r="I247" i="11"/>
  <c r="L247" i="11" s="1"/>
  <c r="I246" i="11"/>
  <c r="I245" i="11"/>
  <c r="L245" i="11" s="1"/>
  <c r="I244" i="11"/>
  <c r="L244" i="11" s="1"/>
  <c r="I243" i="11"/>
  <c r="I242" i="11"/>
  <c r="I241" i="11"/>
  <c r="L241" i="11" s="1"/>
  <c r="I240" i="11"/>
  <c r="L240" i="11" s="1"/>
  <c r="I239" i="11"/>
  <c r="L239" i="11" s="1"/>
  <c r="I238" i="11"/>
  <c r="I237" i="11"/>
  <c r="I236" i="11"/>
  <c r="L236" i="11" s="1"/>
  <c r="I235" i="11"/>
  <c r="I234" i="11"/>
  <c r="L234" i="11" s="1"/>
  <c r="I233" i="11"/>
  <c r="L233" i="11" s="1"/>
  <c r="I232" i="11"/>
  <c r="L232" i="11" s="1"/>
  <c r="I231" i="11"/>
  <c r="I230" i="11"/>
  <c r="I229" i="11"/>
  <c r="I228" i="11"/>
  <c r="L228" i="11" s="1"/>
  <c r="I227" i="11"/>
  <c r="I226" i="11"/>
  <c r="L226" i="11" s="1"/>
  <c r="I225" i="11"/>
  <c r="L225" i="11" s="1"/>
  <c r="I224" i="11"/>
  <c r="L224" i="11" s="1"/>
  <c r="I223" i="11"/>
  <c r="L223" i="11" s="1"/>
  <c r="I222" i="11"/>
  <c r="I221" i="11"/>
  <c r="L221" i="11" s="1"/>
  <c r="I220" i="11"/>
  <c r="L220" i="11" s="1"/>
  <c r="I219" i="11"/>
  <c r="I218" i="11"/>
  <c r="L218" i="11" s="1"/>
  <c r="I208" i="11"/>
  <c r="L208" i="11" s="1"/>
  <c r="I209" i="11"/>
  <c r="L209" i="11" s="1"/>
  <c r="I210" i="11"/>
  <c r="L210" i="11" s="1"/>
  <c r="I211" i="11"/>
  <c r="L211" i="11" s="1"/>
  <c r="I212" i="11"/>
  <c r="L212" i="11" s="1"/>
  <c r="I213" i="11"/>
  <c r="L213" i="11" s="1"/>
  <c r="I214" i="11"/>
  <c r="L214" i="11" s="1"/>
  <c r="I215" i="11"/>
  <c r="L215" i="11" s="1"/>
  <c r="I216" i="11"/>
  <c r="L216" i="11" s="1"/>
  <c r="I217" i="11"/>
  <c r="L217" i="11" s="1"/>
  <c r="I207" i="11"/>
  <c r="L207" i="11" s="1"/>
  <c r="I206" i="11"/>
  <c r="L206" i="11" s="1"/>
  <c r="I205" i="11"/>
  <c r="L205" i="11" s="1"/>
  <c r="F241" i="11"/>
  <c r="K241" i="11" s="1"/>
  <c r="F242" i="11"/>
  <c r="F243" i="11"/>
  <c r="K243" i="11" s="1"/>
  <c r="F244" i="11"/>
  <c r="K244" i="11" s="1"/>
  <c r="F245" i="11"/>
  <c r="K245" i="11" s="1"/>
  <c r="F246" i="11"/>
  <c r="K246" i="11" s="1"/>
  <c r="F247" i="11"/>
  <c r="F240" i="11"/>
  <c r="K240" i="11" s="1"/>
  <c r="F239" i="11"/>
  <c r="K239" i="11" s="1"/>
  <c r="F238" i="11"/>
  <c r="F237" i="11"/>
  <c r="K237" i="11" s="1"/>
  <c r="F234" i="11"/>
  <c r="K234" i="11" s="1"/>
  <c r="F235" i="11"/>
  <c r="K235" i="11" s="1"/>
  <c r="F236" i="11"/>
  <c r="K236" i="11" s="1"/>
  <c r="F233" i="11"/>
  <c r="K233" i="11" s="1"/>
  <c r="F230" i="11"/>
  <c r="K230" i="11" s="1"/>
  <c r="F231" i="11"/>
  <c r="K231" i="11" s="1"/>
  <c r="F232" i="11"/>
  <c r="F229" i="11"/>
  <c r="K229" i="11" s="1"/>
  <c r="F228" i="11"/>
  <c r="K228" i="11" s="1"/>
  <c r="F227" i="11"/>
  <c r="K227" i="11" s="1"/>
  <c r="F226" i="11"/>
  <c r="F225" i="11"/>
  <c r="F224" i="11"/>
  <c r="K224" i="11" s="1"/>
  <c r="F223" i="11"/>
  <c r="K223" i="11" s="1"/>
  <c r="F222" i="11"/>
  <c r="K222" i="11" s="1"/>
  <c r="F221" i="11"/>
  <c r="K221" i="11" s="1"/>
  <c r="F220" i="11"/>
  <c r="K220" i="11" s="1"/>
  <c r="F219" i="11"/>
  <c r="K219" i="11" s="1"/>
  <c r="F218" i="11"/>
  <c r="K218" i="11" s="1"/>
  <c r="F208" i="11"/>
  <c r="F209" i="11"/>
  <c r="K209" i="11" s="1"/>
  <c r="F210" i="11"/>
  <c r="K210" i="11" s="1"/>
  <c r="F211" i="11"/>
  <c r="K211" i="11" s="1"/>
  <c r="F212" i="11"/>
  <c r="F213" i="11"/>
  <c r="K213" i="11" s="1"/>
  <c r="F214" i="11"/>
  <c r="K214" i="11" s="1"/>
  <c r="F215" i="11"/>
  <c r="K215" i="11" s="1"/>
  <c r="F216" i="11"/>
  <c r="K216" i="11" s="1"/>
  <c r="F217" i="11"/>
  <c r="K217" i="11" s="1"/>
  <c r="F207" i="11"/>
  <c r="K207" i="11" s="1"/>
  <c r="F206" i="11"/>
  <c r="F205" i="11"/>
  <c r="K205" i="11" s="1"/>
  <c r="I203" i="11"/>
  <c r="L203" i="11" s="1"/>
  <c r="I202" i="11"/>
  <c r="L202" i="11" s="1"/>
  <c r="I199" i="11"/>
  <c r="L199" i="11" s="1"/>
  <c r="I200" i="11"/>
  <c r="L200" i="11" s="1"/>
  <c r="I201" i="11"/>
  <c r="L201" i="11" s="1"/>
  <c r="I198" i="11"/>
  <c r="L198" i="11" s="1"/>
  <c r="I185" i="11"/>
  <c r="I186" i="11"/>
  <c r="L186" i="11" s="1"/>
  <c r="I187" i="11"/>
  <c r="L187" i="11" s="1"/>
  <c r="I188" i="11"/>
  <c r="L188" i="11" s="1"/>
  <c r="I189" i="11"/>
  <c r="L189" i="11" s="1"/>
  <c r="I190" i="11"/>
  <c r="L190" i="11" s="1"/>
  <c r="I191" i="11"/>
  <c r="L191" i="11" s="1"/>
  <c r="I192" i="11"/>
  <c r="L192" i="11" s="1"/>
  <c r="I193" i="11"/>
  <c r="I194" i="11"/>
  <c r="L194" i="11" s="1"/>
  <c r="I195" i="11"/>
  <c r="L195" i="11" s="1"/>
  <c r="I196" i="11"/>
  <c r="L196" i="11" s="1"/>
  <c r="I197" i="11"/>
  <c r="L197" i="11" s="1"/>
  <c r="I184" i="11"/>
  <c r="L184" i="11" s="1"/>
  <c r="I183" i="11"/>
  <c r="L183" i="11" s="1"/>
  <c r="I182" i="11"/>
  <c r="L182" i="11" s="1"/>
  <c r="F203" i="11"/>
  <c r="F202" i="11"/>
  <c r="K202" i="11" s="1"/>
  <c r="F201" i="11"/>
  <c r="K201" i="11" s="1"/>
  <c r="F200" i="11"/>
  <c r="K200" i="11" s="1"/>
  <c r="F199" i="11"/>
  <c r="K199" i="11" s="1"/>
  <c r="F198" i="11"/>
  <c r="F186" i="11"/>
  <c r="K186" i="11" s="1"/>
  <c r="F187" i="11"/>
  <c r="K187" i="11" s="1"/>
  <c r="F188" i="11"/>
  <c r="F189" i="11"/>
  <c r="K189" i="11" s="1"/>
  <c r="F190" i="11"/>
  <c r="K190" i="11" s="1"/>
  <c r="F191" i="11"/>
  <c r="K191" i="11" s="1"/>
  <c r="F192" i="11"/>
  <c r="K192" i="11" s="1"/>
  <c r="F193" i="11"/>
  <c r="K193" i="11" s="1"/>
  <c r="F194" i="11"/>
  <c r="K194" i="11" s="1"/>
  <c r="F195" i="11"/>
  <c r="K195" i="11" s="1"/>
  <c r="F196" i="11"/>
  <c r="F197" i="11"/>
  <c r="K197" i="11" s="1"/>
  <c r="F185" i="11"/>
  <c r="K185" i="11" s="1"/>
  <c r="F184" i="11"/>
  <c r="K184" i="11" s="1"/>
  <c r="F183" i="11"/>
  <c r="K183" i="11" s="1"/>
  <c r="F182" i="11"/>
  <c r="K182" i="11" s="1"/>
  <c r="I177" i="11"/>
  <c r="L177" i="11" s="1"/>
  <c r="F177" i="11"/>
  <c r="K177" i="11" s="1"/>
  <c r="I175" i="11"/>
  <c r="L175" i="11" s="1"/>
  <c r="F175" i="11"/>
  <c r="K175" i="11" s="1"/>
  <c r="I173" i="11"/>
  <c r="L173" i="11" s="1"/>
  <c r="F173" i="11"/>
  <c r="K173" i="11" s="1"/>
  <c r="I160" i="11"/>
  <c r="I161" i="11"/>
  <c r="I162" i="11"/>
  <c r="L162" i="11" s="1"/>
  <c r="I163" i="11"/>
  <c r="L163" i="11" s="1"/>
  <c r="I164" i="11"/>
  <c r="L164" i="11" s="1"/>
  <c r="I165" i="11"/>
  <c r="L165" i="11" s="1"/>
  <c r="I166" i="11"/>
  <c r="L166" i="11" s="1"/>
  <c r="I167" i="11"/>
  <c r="L167" i="11" s="1"/>
  <c r="I168" i="11"/>
  <c r="I169" i="11"/>
  <c r="L169" i="11" s="1"/>
  <c r="I170" i="11"/>
  <c r="L170" i="11" s="1"/>
  <c r="I171" i="11"/>
  <c r="L171" i="11" s="1"/>
  <c r="I159" i="11"/>
  <c r="L159" i="11" s="1"/>
  <c r="I150" i="11"/>
  <c r="L150" i="11" s="1"/>
  <c r="I151" i="11"/>
  <c r="L151" i="11" s="1"/>
  <c r="I152" i="11"/>
  <c r="L152" i="11" s="1"/>
  <c r="I153" i="11"/>
  <c r="L153" i="11" s="1"/>
  <c r="I154" i="11"/>
  <c r="L154" i="11" s="1"/>
  <c r="I155" i="11"/>
  <c r="L155" i="11" s="1"/>
  <c r="I156" i="11"/>
  <c r="L156" i="11" s="1"/>
  <c r="I157" i="11"/>
  <c r="L157" i="11" s="1"/>
  <c r="I158" i="11"/>
  <c r="L158" i="11" s="1"/>
  <c r="L161" i="11"/>
  <c r="I149" i="11"/>
  <c r="L149" i="11" s="1"/>
  <c r="F160" i="11"/>
  <c r="K160" i="11" s="1"/>
  <c r="F161" i="11"/>
  <c r="K161" i="11" s="1"/>
  <c r="F162" i="11"/>
  <c r="K162" i="11" s="1"/>
  <c r="F163" i="11"/>
  <c r="K163" i="11" s="1"/>
  <c r="F164" i="11"/>
  <c r="K164" i="11" s="1"/>
  <c r="F165" i="11"/>
  <c r="K165" i="11" s="1"/>
  <c r="F166" i="11"/>
  <c r="K166" i="11" s="1"/>
  <c r="F167" i="11"/>
  <c r="K167" i="11" s="1"/>
  <c r="F168" i="11"/>
  <c r="F169" i="11"/>
  <c r="K169" i="11" s="1"/>
  <c r="F170" i="11"/>
  <c r="K170" i="11" s="1"/>
  <c r="F171" i="11"/>
  <c r="K171" i="11" s="1"/>
  <c r="F159" i="11"/>
  <c r="K159" i="11" s="1"/>
  <c r="F150" i="11"/>
  <c r="K150" i="11" s="1"/>
  <c r="F151" i="11"/>
  <c r="K151" i="11" s="1"/>
  <c r="F152" i="11"/>
  <c r="K152" i="11" s="1"/>
  <c r="F153" i="11"/>
  <c r="K153" i="11" s="1"/>
  <c r="F154" i="11"/>
  <c r="F155" i="11"/>
  <c r="F156" i="11"/>
  <c r="K156" i="11" s="1"/>
  <c r="F157" i="11"/>
  <c r="K157" i="11" s="1"/>
  <c r="F158" i="11"/>
  <c r="K158" i="11" s="1"/>
  <c r="F149" i="11"/>
  <c r="K149" i="11" s="1"/>
  <c r="I147" i="11"/>
  <c r="L147" i="11" s="1"/>
  <c r="I146" i="11"/>
  <c r="L146" i="11" s="1"/>
  <c r="I145" i="11"/>
  <c r="L145" i="11" s="1"/>
  <c r="I144" i="11"/>
  <c r="L144" i="11" s="1"/>
  <c r="I143" i="11"/>
  <c r="L143" i="11" s="1"/>
  <c r="I142" i="11"/>
  <c r="L142" i="11" s="1"/>
  <c r="I141" i="11"/>
  <c r="L141" i="11" s="1"/>
  <c r="I140" i="11"/>
  <c r="L140" i="11" s="1"/>
  <c r="I139" i="11"/>
  <c r="L139" i="11" s="1"/>
  <c r="I138" i="11"/>
  <c r="L138" i="11" s="1"/>
  <c r="I137" i="11"/>
  <c r="L137" i="11" s="1"/>
  <c r="I136" i="11"/>
  <c r="L136" i="11" s="1"/>
  <c r="I135" i="11"/>
  <c r="L135" i="11" s="1"/>
  <c r="I134" i="11"/>
  <c r="L134" i="11" s="1"/>
  <c r="F147" i="11"/>
  <c r="F146" i="11"/>
  <c r="K146" i="11" s="1"/>
  <c r="F145" i="11"/>
  <c r="K145" i="11" s="1"/>
  <c r="F142" i="11"/>
  <c r="K142" i="11" s="1"/>
  <c r="F143" i="11"/>
  <c r="K143" i="11" s="1"/>
  <c r="F144" i="11"/>
  <c r="F141" i="11"/>
  <c r="K141" i="11" s="1"/>
  <c r="F140" i="11"/>
  <c r="K140" i="11" s="1"/>
  <c r="F139" i="11"/>
  <c r="F138" i="11"/>
  <c r="K138" i="11" s="1"/>
  <c r="F137" i="11"/>
  <c r="F136" i="11"/>
  <c r="K136" i="11" s="1"/>
  <c r="F135" i="11"/>
  <c r="F134" i="11"/>
  <c r="K134" i="11" s="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H160" i="11" s="1"/>
  <c r="J160" i="11" s="1"/>
  <c r="L160" i="11"/>
  <c r="G161" i="11"/>
  <c r="G162" i="11"/>
  <c r="G163" i="11"/>
  <c r="G164" i="11"/>
  <c r="G165" i="11"/>
  <c r="G166" i="11"/>
  <c r="G167" i="11"/>
  <c r="G168" i="11"/>
  <c r="H168" i="11" s="1"/>
  <c r="J168" i="11" s="1"/>
  <c r="K168" i="11"/>
  <c r="L168" i="11"/>
  <c r="G169" i="11"/>
  <c r="G170" i="11"/>
  <c r="G171" i="11"/>
  <c r="G173" i="11"/>
  <c r="G175" i="11"/>
  <c r="G177" i="11"/>
  <c r="G180" i="11"/>
  <c r="H180" i="11" s="1"/>
  <c r="J180" i="11" s="1"/>
  <c r="K180" i="11"/>
  <c r="L180" i="11"/>
  <c r="G181" i="11"/>
  <c r="H181" i="11" s="1"/>
  <c r="J181" i="11" s="1"/>
  <c r="K181" i="11"/>
  <c r="L181" i="11"/>
  <c r="G182" i="11"/>
  <c r="G183" i="11"/>
  <c r="G184" i="11"/>
  <c r="G185" i="11"/>
  <c r="L185" i="11"/>
  <c r="G186" i="11"/>
  <c r="H186" i="11" s="1"/>
  <c r="G187" i="11"/>
  <c r="G188" i="11"/>
  <c r="H188" i="11" s="1"/>
  <c r="K188" i="11"/>
  <c r="G189" i="11"/>
  <c r="G190" i="11"/>
  <c r="G191" i="11"/>
  <c r="G192" i="11"/>
  <c r="G193" i="11"/>
  <c r="L193" i="11"/>
  <c r="G194" i="11"/>
  <c r="G195" i="11"/>
  <c r="G196" i="11"/>
  <c r="H196" i="11" s="1"/>
  <c r="K196" i="11"/>
  <c r="G197" i="11"/>
  <c r="G198" i="11"/>
  <c r="H198" i="11" s="1"/>
  <c r="G199" i="11"/>
  <c r="G200" i="11"/>
  <c r="G201" i="11"/>
  <c r="G202" i="11"/>
  <c r="G203" i="11"/>
  <c r="K203" i="11"/>
  <c r="G205" i="11"/>
  <c r="G206" i="11"/>
  <c r="G207" i="11"/>
  <c r="G208" i="11"/>
  <c r="H208" i="11" s="1"/>
  <c r="J208" i="11" s="1"/>
  <c r="K208" i="11"/>
  <c r="G209" i="11"/>
  <c r="G210" i="11"/>
  <c r="G211" i="11"/>
  <c r="H211" i="11" s="1"/>
  <c r="G212" i="11"/>
  <c r="G213" i="11"/>
  <c r="G214" i="11"/>
  <c r="G215" i="11"/>
  <c r="G216" i="11"/>
  <c r="G217" i="11"/>
  <c r="G218" i="11"/>
  <c r="G219" i="11"/>
  <c r="L219" i="11"/>
  <c r="G220" i="11"/>
  <c r="G221" i="11"/>
  <c r="G222" i="11"/>
  <c r="H222" i="11" s="1"/>
  <c r="L222" i="11"/>
  <c r="G223" i="11"/>
  <c r="G224" i="11"/>
  <c r="G225" i="11"/>
  <c r="K225" i="11"/>
  <c r="G226" i="11"/>
  <c r="H226" i="11" s="1"/>
  <c r="K226" i="11"/>
  <c r="G227" i="11"/>
  <c r="L227" i="11"/>
  <c r="G228" i="11"/>
  <c r="G229" i="11"/>
  <c r="L229" i="11"/>
  <c r="G230" i="11"/>
  <c r="H230" i="11" s="1"/>
  <c r="J230" i="11" s="1"/>
  <c r="L230" i="11"/>
  <c r="G231" i="11"/>
  <c r="L231" i="11"/>
  <c r="G232" i="11"/>
  <c r="H232" i="11" s="1"/>
  <c r="K232" i="11"/>
  <c r="G233" i="11"/>
  <c r="H233" i="11" s="1"/>
  <c r="G234" i="11"/>
  <c r="H234" i="11" s="1"/>
  <c r="G235" i="11"/>
  <c r="L235" i="11"/>
  <c r="G236" i="11"/>
  <c r="G237" i="11"/>
  <c r="L237" i="11"/>
  <c r="G238" i="11"/>
  <c r="H238" i="11" s="1"/>
  <c r="K238" i="11"/>
  <c r="L238" i="11"/>
  <c r="G239" i="11"/>
  <c r="G240" i="11"/>
  <c r="G241" i="11"/>
  <c r="G242" i="11"/>
  <c r="H242" i="11" s="1"/>
  <c r="J242" i="11" s="1"/>
  <c r="K242" i="11"/>
  <c r="L242" i="11"/>
  <c r="G243" i="11"/>
  <c r="L243" i="11"/>
  <c r="G244" i="11"/>
  <c r="G245" i="11"/>
  <c r="G246" i="11"/>
  <c r="L246" i="11"/>
  <c r="G247" i="11"/>
  <c r="K247" i="11"/>
  <c r="G249" i="11"/>
  <c r="G250" i="11"/>
  <c r="L250" i="11"/>
  <c r="G251" i="11"/>
  <c r="H251" i="11" s="1"/>
  <c r="J251" i="11" s="1"/>
  <c r="K251" i="11"/>
  <c r="L251" i="11"/>
  <c r="G253" i="11"/>
  <c r="H253" i="11" s="1"/>
  <c r="K253" i="11"/>
  <c r="G254" i="11"/>
  <c r="G255" i="11"/>
  <c r="G256" i="11"/>
  <c r="L256" i="11"/>
  <c r="G257" i="11"/>
  <c r="H257" i="11" s="1"/>
  <c r="K257" i="11"/>
  <c r="L257" i="11"/>
  <c r="G258" i="11"/>
  <c r="H258" i="11" s="1"/>
  <c r="G259" i="11"/>
  <c r="G261" i="11"/>
  <c r="G262" i="11"/>
  <c r="H262" i="11" s="1"/>
  <c r="J262" i="11" s="1"/>
  <c r="K262" i="11"/>
  <c r="L262" i="11"/>
  <c r="G134" i="11"/>
  <c r="I125" i="11"/>
  <c r="L125" i="11" s="1"/>
  <c r="I124" i="11"/>
  <c r="L124" i="11" s="1"/>
  <c r="F125" i="11"/>
  <c r="K125" i="11" s="1"/>
  <c r="F124" i="11"/>
  <c r="K124" i="11" s="1"/>
  <c r="I117" i="11"/>
  <c r="L117" i="11" s="1"/>
  <c r="F117" i="11"/>
  <c r="K117" i="11" s="1"/>
  <c r="L115" i="11"/>
  <c r="F115" i="11"/>
  <c r="K115" i="11" s="1"/>
  <c r="I113" i="11"/>
  <c r="L113" i="11" s="1"/>
  <c r="I112" i="11"/>
  <c r="L112" i="11" s="1"/>
  <c r="I111" i="11"/>
  <c r="L111" i="11" s="1"/>
  <c r="F113" i="11"/>
  <c r="K113" i="11" s="1"/>
  <c r="F112" i="11"/>
  <c r="K112" i="11" s="1"/>
  <c r="F111" i="11"/>
  <c r="K111" i="11" s="1"/>
  <c r="I109" i="11"/>
  <c r="L109" i="11" s="1"/>
  <c r="I108" i="11"/>
  <c r="L108" i="11" s="1"/>
  <c r="I107" i="11"/>
  <c r="L107" i="11" s="1"/>
  <c r="I106" i="11"/>
  <c r="L106" i="11" s="1"/>
  <c r="F107" i="11"/>
  <c r="K107" i="11" s="1"/>
  <c r="F108" i="11"/>
  <c r="K108" i="11" s="1"/>
  <c r="F109" i="11"/>
  <c r="K109" i="11" s="1"/>
  <c r="F106" i="11"/>
  <c r="K106" i="11" s="1"/>
  <c r="I98" i="11"/>
  <c r="L98" i="11" s="1"/>
  <c r="I99" i="11"/>
  <c r="L99" i="11" s="1"/>
  <c r="I100" i="11"/>
  <c r="L100" i="11" s="1"/>
  <c r="I101" i="11"/>
  <c r="L101" i="11" s="1"/>
  <c r="I102" i="11"/>
  <c r="L102" i="11" s="1"/>
  <c r="I103" i="11"/>
  <c r="L103" i="11" s="1"/>
  <c r="I97" i="11"/>
  <c r="L97" i="11" s="1"/>
  <c r="F98" i="11"/>
  <c r="K98" i="11" s="1"/>
  <c r="F99" i="11"/>
  <c r="K99" i="11" s="1"/>
  <c r="F100" i="11"/>
  <c r="K100" i="11" s="1"/>
  <c r="F101" i="11"/>
  <c r="K101" i="11" s="1"/>
  <c r="F102" i="11"/>
  <c r="K102" i="11" s="1"/>
  <c r="F103" i="11"/>
  <c r="K103" i="11" s="1"/>
  <c r="F97" i="11"/>
  <c r="K97" i="11" s="1"/>
  <c r="I95" i="11"/>
  <c r="L95" i="11" s="1"/>
  <c r="I94" i="11"/>
  <c r="L94" i="11" s="1"/>
  <c r="I93" i="11"/>
  <c r="L93" i="11" s="1"/>
  <c r="I92" i="11"/>
  <c r="L92" i="11" s="1"/>
  <c r="F95" i="11"/>
  <c r="K95" i="11" s="1"/>
  <c r="F94" i="11"/>
  <c r="K94" i="11" s="1"/>
  <c r="F93" i="11"/>
  <c r="K93" i="11" s="1"/>
  <c r="F92" i="11"/>
  <c r="K92" i="11" s="1"/>
  <c r="I86" i="11"/>
  <c r="L86" i="11" s="1"/>
  <c r="F86" i="11"/>
  <c r="K86" i="11" s="1"/>
  <c r="I81" i="11"/>
  <c r="L81" i="11" s="1"/>
  <c r="F81" i="11"/>
  <c r="K81" i="11" s="1"/>
  <c r="I80" i="11"/>
  <c r="L80" i="11" s="1"/>
  <c r="I82" i="11"/>
  <c r="L82" i="11" s="1"/>
  <c r="I83" i="11"/>
  <c r="L83" i="11" s="1"/>
  <c r="I84" i="11"/>
  <c r="L84" i="11" s="1"/>
  <c r="I79" i="11"/>
  <c r="L79" i="11" s="1"/>
  <c r="F80" i="11"/>
  <c r="K80" i="11" s="1"/>
  <c r="F82" i="11"/>
  <c r="K82" i="11" s="1"/>
  <c r="F83" i="11"/>
  <c r="K83" i="11" s="1"/>
  <c r="F84" i="11"/>
  <c r="K84" i="11" s="1"/>
  <c r="F79" i="11"/>
  <c r="K79" i="11" s="1"/>
  <c r="I62" i="11"/>
  <c r="L62" i="11" s="1"/>
  <c r="I63" i="11"/>
  <c r="L63" i="11" s="1"/>
  <c r="I64" i="11"/>
  <c r="L64" i="11" s="1"/>
  <c r="I65" i="11"/>
  <c r="L65" i="11" s="1"/>
  <c r="I66" i="11"/>
  <c r="L66" i="11" s="1"/>
  <c r="I68" i="11"/>
  <c r="L68" i="11" s="1"/>
  <c r="I70" i="11"/>
  <c r="L70" i="11" s="1"/>
  <c r="I72" i="11"/>
  <c r="L72" i="11" s="1"/>
  <c r="I73" i="11"/>
  <c r="L73" i="11" s="1"/>
  <c r="I75" i="11"/>
  <c r="L75" i="11" s="1"/>
  <c r="I77" i="11"/>
  <c r="L77" i="11" s="1"/>
  <c r="I78" i="11"/>
  <c r="L78" i="11" s="1"/>
  <c r="I61" i="11"/>
  <c r="L61" i="11" s="1"/>
  <c r="F62" i="11"/>
  <c r="K62" i="11" s="1"/>
  <c r="F63" i="11"/>
  <c r="K63" i="11" s="1"/>
  <c r="F64" i="11"/>
  <c r="K64" i="11" s="1"/>
  <c r="F65" i="11"/>
  <c r="K65" i="11" s="1"/>
  <c r="F66" i="11"/>
  <c r="K66" i="11" s="1"/>
  <c r="F68" i="11"/>
  <c r="K68" i="11" s="1"/>
  <c r="F70" i="11"/>
  <c r="K70" i="11" s="1"/>
  <c r="F72" i="11"/>
  <c r="K72" i="11" s="1"/>
  <c r="F73" i="11"/>
  <c r="K73" i="11" s="1"/>
  <c r="F75" i="11"/>
  <c r="K75" i="11" s="1"/>
  <c r="F77" i="11"/>
  <c r="K77" i="11" s="1"/>
  <c r="F78" i="11"/>
  <c r="K78" i="11" s="1"/>
  <c r="F61" i="11"/>
  <c r="I56" i="11"/>
  <c r="L56" i="11" s="1"/>
  <c r="I57" i="11"/>
  <c r="L57" i="11" s="1"/>
  <c r="I58" i="11"/>
  <c r="L58" i="11" s="1"/>
  <c r="I59" i="11"/>
  <c r="L59" i="11" s="1"/>
  <c r="I60" i="11"/>
  <c r="L60" i="11" s="1"/>
  <c r="I55" i="11"/>
  <c r="L55" i="11" s="1"/>
  <c r="F56" i="11"/>
  <c r="K56" i="11" s="1"/>
  <c r="F57" i="11"/>
  <c r="K57" i="11" s="1"/>
  <c r="F58" i="11"/>
  <c r="K58" i="11" s="1"/>
  <c r="F59" i="11"/>
  <c r="K59" i="11" s="1"/>
  <c r="F60" i="11"/>
  <c r="F55" i="11"/>
  <c r="K55" i="11" s="1"/>
  <c r="I54" i="11"/>
  <c r="L54" i="11" s="1"/>
  <c r="I53" i="11"/>
  <c r="L53" i="11" s="1"/>
  <c r="F54" i="11"/>
  <c r="K54" i="11" s="1"/>
  <c r="F53" i="11"/>
  <c r="K53" i="11" s="1"/>
  <c r="I52" i="11"/>
  <c r="L52" i="11" s="1"/>
  <c r="F52" i="11"/>
  <c r="K52" i="11" s="1"/>
  <c r="I51" i="11"/>
  <c r="L51" i="11" s="1"/>
  <c r="F51" i="11"/>
  <c r="K51" i="11" s="1"/>
  <c r="K121" i="11"/>
  <c r="L121" i="11"/>
  <c r="K122" i="11"/>
  <c r="L122" i="11"/>
  <c r="G44" i="11"/>
  <c r="F44" i="11"/>
  <c r="K44" i="11" s="1"/>
  <c r="M196" i="8"/>
  <c r="I50" i="11"/>
  <c r="L50" i="11" s="1"/>
  <c r="F50" i="11"/>
  <c r="K50" i="11" s="1"/>
  <c r="I48" i="11"/>
  <c r="L48" i="11" s="1"/>
  <c r="F48" i="11"/>
  <c r="K48" i="11" s="1"/>
  <c r="I44" i="11"/>
  <c r="L44" i="11" s="1"/>
  <c r="I43" i="11"/>
  <c r="L43" i="11" s="1"/>
  <c r="I42" i="11"/>
  <c r="L42" i="11" s="1"/>
  <c r="F43" i="11"/>
  <c r="K43" i="11" s="1"/>
  <c r="F42" i="11"/>
  <c r="K42" i="11" s="1"/>
  <c r="F41" i="11"/>
  <c r="K41" i="11" s="1"/>
  <c r="I39" i="11"/>
  <c r="L39" i="11" s="1"/>
  <c r="I38" i="11"/>
  <c r="L38" i="11" s="1"/>
  <c r="F39" i="11"/>
  <c r="K39" i="11" s="1"/>
  <c r="F38" i="11"/>
  <c r="I37" i="11"/>
  <c r="L37" i="11" s="1"/>
  <c r="F37" i="11"/>
  <c r="K37" i="11" s="1"/>
  <c r="I35" i="11"/>
  <c r="L35" i="11" s="1"/>
  <c r="I36" i="11"/>
  <c r="L36" i="11" s="1"/>
  <c r="F35" i="11"/>
  <c r="K35" i="11" s="1"/>
  <c r="F36" i="11"/>
  <c r="K36" i="11" s="1"/>
  <c r="I34" i="11"/>
  <c r="L34" i="11" s="1"/>
  <c r="F34" i="11"/>
  <c r="I33" i="11"/>
  <c r="L33" i="11" s="1"/>
  <c r="F33" i="11"/>
  <c r="K33" i="11" s="1"/>
  <c r="I8" i="11"/>
  <c r="L8" i="11" s="1"/>
  <c r="F8" i="11"/>
  <c r="K8" i="11" s="1"/>
  <c r="I31" i="11"/>
  <c r="L31" i="11" s="1"/>
  <c r="I32" i="11"/>
  <c r="L32" i="11" s="1"/>
  <c r="I30" i="11"/>
  <c r="L30" i="11" s="1"/>
  <c r="F31" i="11"/>
  <c r="K31" i="11" s="1"/>
  <c r="F32" i="11"/>
  <c r="K32" i="11" s="1"/>
  <c r="F30" i="11"/>
  <c r="K30" i="11" s="1"/>
  <c r="G4" i="11"/>
  <c r="I27" i="11"/>
  <c r="L27" i="11" s="1"/>
  <c r="I28" i="11"/>
  <c r="L28" i="11" s="1"/>
  <c r="I26" i="11"/>
  <c r="L26" i="11" s="1"/>
  <c r="F27" i="11"/>
  <c r="K27" i="11" s="1"/>
  <c r="F28" i="11"/>
  <c r="K28" i="11" s="1"/>
  <c r="F26" i="11"/>
  <c r="K26" i="11" s="1"/>
  <c r="I24" i="11"/>
  <c r="L24" i="11" s="1"/>
  <c r="I25" i="11"/>
  <c r="L25" i="11" s="1"/>
  <c r="I23" i="11"/>
  <c r="L23" i="11" s="1"/>
  <c r="F24" i="11"/>
  <c r="K24" i="11" s="1"/>
  <c r="F25" i="11"/>
  <c r="K25" i="11" s="1"/>
  <c r="F23" i="11"/>
  <c r="I20" i="11"/>
  <c r="L20" i="11" s="1"/>
  <c r="I21" i="11"/>
  <c r="L21" i="11" s="1"/>
  <c r="I22" i="11"/>
  <c r="L22" i="11" s="1"/>
  <c r="I19" i="11"/>
  <c r="L19" i="11" s="1"/>
  <c r="I18" i="11"/>
  <c r="L18" i="11" s="1"/>
  <c r="F20" i="11"/>
  <c r="K20" i="11" s="1"/>
  <c r="F21" i="11"/>
  <c r="F22" i="11"/>
  <c r="K22" i="11" s="1"/>
  <c r="F19" i="11"/>
  <c r="F18" i="11"/>
  <c r="I15" i="11"/>
  <c r="L15" i="11" s="1"/>
  <c r="I16" i="11"/>
  <c r="L16" i="11" s="1"/>
  <c r="I17" i="11"/>
  <c r="L17" i="11" s="1"/>
  <c r="I14" i="11"/>
  <c r="L14" i="11" s="1"/>
  <c r="G10" i="11"/>
  <c r="I10" i="11"/>
  <c r="L10" i="11" s="1"/>
  <c r="I12" i="11"/>
  <c r="L12" i="11" s="1"/>
  <c r="I11" i="11"/>
  <c r="L11" i="11" s="1"/>
  <c r="I4" i="11"/>
  <c r="L4" i="11" s="1"/>
  <c r="F15" i="11"/>
  <c r="K15" i="11" s="1"/>
  <c r="F16" i="11"/>
  <c r="K16" i="11" s="1"/>
  <c r="F17" i="11"/>
  <c r="K17" i="11" s="1"/>
  <c r="F14" i="11"/>
  <c r="K14" i="11" s="1"/>
  <c r="G11" i="11"/>
  <c r="G12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30" i="11"/>
  <c r="G31" i="11"/>
  <c r="G32" i="11"/>
  <c r="G33" i="11"/>
  <c r="G34" i="11"/>
  <c r="G35" i="11"/>
  <c r="G36" i="11"/>
  <c r="G37" i="11"/>
  <c r="G38" i="11"/>
  <c r="G39" i="11"/>
  <c r="G41" i="11"/>
  <c r="G42" i="11"/>
  <c r="G43" i="11"/>
  <c r="G48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8" i="11"/>
  <c r="G70" i="11"/>
  <c r="G72" i="11"/>
  <c r="G73" i="11"/>
  <c r="G75" i="11"/>
  <c r="G77" i="11"/>
  <c r="G78" i="11"/>
  <c r="G79" i="11"/>
  <c r="G80" i="11"/>
  <c r="G81" i="11"/>
  <c r="G82" i="11"/>
  <c r="G83" i="11"/>
  <c r="G84" i="11"/>
  <c r="G86" i="11"/>
  <c r="G92" i="11"/>
  <c r="G93" i="11"/>
  <c r="G94" i="11"/>
  <c r="G95" i="11"/>
  <c r="G97" i="11"/>
  <c r="G98" i="11"/>
  <c r="G99" i="11"/>
  <c r="G100" i="11"/>
  <c r="G101" i="11"/>
  <c r="G102" i="11"/>
  <c r="G103" i="11"/>
  <c r="G106" i="11"/>
  <c r="G107" i="11"/>
  <c r="G108" i="11"/>
  <c r="G109" i="11"/>
  <c r="G111" i="11"/>
  <c r="G112" i="11"/>
  <c r="G113" i="11"/>
  <c r="G115" i="11"/>
  <c r="G117" i="11"/>
  <c r="G121" i="11"/>
  <c r="H121" i="11" s="1"/>
  <c r="J121" i="11" s="1"/>
  <c r="G122" i="11"/>
  <c r="H122" i="11" s="1"/>
  <c r="J122" i="11" s="1"/>
  <c r="G123" i="11"/>
  <c r="G124" i="11"/>
  <c r="G125" i="11"/>
  <c r="F11" i="11"/>
  <c r="K11" i="11" s="1"/>
  <c r="F12" i="11"/>
  <c r="K12" i="11" s="1"/>
  <c r="F10" i="11"/>
  <c r="K10" i="11" s="1"/>
  <c r="I7" i="11"/>
  <c r="L7" i="11" s="1"/>
  <c r="I6" i="11"/>
  <c r="L6" i="11" s="1"/>
  <c r="F7" i="11"/>
  <c r="K7" i="11" s="1"/>
  <c r="F6" i="11"/>
  <c r="F5" i="11"/>
  <c r="G5" i="11"/>
  <c r="I5" i="11"/>
  <c r="L5" i="11" s="1"/>
  <c r="G6" i="11"/>
  <c r="G7" i="11"/>
  <c r="G8" i="11"/>
  <c r="F4" i="11"/>
  <c r="K4" i="11" s="1"/>
  <c r="D27" i="10"/>
  <c r="D28" i="10" s="1"/>
  <c r="F28" i="10"/>
  <c r="F22" i="10"/>
  <c r="F21" i="10" s="1"/>
  <c r="E27" i="10"/>
  <c r="E28" i="10" s="1"/>
  <c r="E24" i="10"/>
  <c r="E22" i="10"/>
  <c r="E21" i="10" s="1"/>
  <c r="D24" i="10"/>
  <c r="D25" i="10"/>
  <c r="D23" i="10"/>
  <c r="D22" i="10"/>
  <c r="D21" i="10" s="1"/>
  <c r="C27" i="10"/>
  <c r="C28" i="10" s="1"/>
  <c r="C22" i="10"/>
  <c r="C21" i="10" s="1"/>
  <c r="B23" i="10"/>
  <c r="H124" i="11" l="1"/>
  <c r="J238" i="11"/>
  <c r="H216" i="11"/>
  <c r="J222" i="11"/>
  <c r="H93" i="11"/>
  <c r="H229" i="11"/>
  <c r="H201" i="11"/>
  <c r="J201" i="11" s="1"/>
  <c r="H189" i="11"/>
  <c r="J189" i="11" s="1"/>
  <c r="J234" i="11"/>
  <c r="H254" i="11"/>
  <c r="H244" i="11"/>
  <c r="J244" i="11" s="1"/>
  <c r="H237" i="11"/>
  <c r="J237" i="11" s="1"/>
  <c r="H249" i="11"/>
  <c r="J249" i="11" s="1"/>
  <c r="H197" i="11"/>
  <c r="J186" i="11"/>
  <c r="H243" i="11"/>
  <c r="J243" i="11" s="1"/>
  <c r="J216" i="11"/>
  <c r="H261" i="11"/>
  <c r="J261" i="11" s="1"/>
  <c r="J257" i="11"/>
  <c r="H240" i="11"/>
  <c r="J240" i="11" s="1"/>
  <c r="H109" i="11"/>
  <c r="H271" i="11"/>
  <c r="J271" i="11" s="1"/>
  <c r="J254" i="11"/>
  <c r="H245" i="11"/>
  <c r="J245" i="11" s="1"/>
  <c r="J232" i="11"/>
  <c r="H210" i="11"/>
  <c r="J210" i="11" s="1"/>
  <c r="H255" i="11"/>
  <c r="J255" i="11" s="1"/>
  <c r="H250" i="11"/>
  <c r="J250" i="11" s="1"/>
  <c r="H235" i="11"/>
  <c r="J235" i="11" s="1"/>
  <c r="H173" i="11"/>
  <c r="J173" i="11" s="1"/>
  <c r="H195" i="11"/>
  <c r="J195" i="11" s="1"/>
  <c r="H187" i="11"/>
  <c r="J187" i="11" s="1"/>
  <c r="H177" i="11"/>
  <c r="J177" i="11" s="1"/>
  <c r="H152" i="11"/>
  <c r="J152" i="11" s="1"/>
  <c r="H277" i="11"/>
  <c r="J277" i="11" s="1"/>
  <c r="H246" i="11"/>
  <c r="J246" i="11" s="1"/>
  <c r="H217" i="11"/>
  <c r="J217" i="11" s="1"/>
  <c r="H209" i="11"/>
  <c r="J209" i="11" s="1"/>
  <c r="H194" i="11"/>
  <c r="J194" i="11" s="1"/>
  <c r="H239" i="11"/>
  <c r="J239" i="11" s="1"/>
  <c r="H227" i="11"/>
  <c r="J227" i="11" s="1"/>
  <c r="H224" i="11"/>
  <c r="J224" i="11" s="1"/>
  <c r="H256" i="11"/>
  <c r="J256" i="11" s="1"/>
  <c r="H236" i="11"/>
  <c r="J236" i="11" s="1"/>
  <c r="H212" i="11"/>
  <c r="J212" i="11" s="1"/>
  <c r="D26" i="10"/>
  <c r="H149" i="11"/>
  <c r="J149" i="11" s="1"/>
  <c r="H206" i="11"/>
  <c r="J206" i="11" s="1"/>
  <c r="J258" i="11"/>
  <c r="J253" i="11"/>
  <c r="H259" i="11"/>
  <c r="J259" i="11" s="1"/>
  <c r="J233" i="11"/>
  <c r="J229" i="11"/>
  <c r="J226" i="11"/>
  <c r="J211" i="11"/>
  <c r="H247" i="11"/>
  <c r="J247" i="11" s="1"/>
  <c r="H241" i="11"/>
  <c r="J241" i="11" s="1"/>
  <c r="H231" i="11"/>
  <c r="J231" i="11" s="1"/>
  <c r="H228" i="11"/>
  <c r="J228" i="11" s="1"/>
  <c r="H135" i="11"/>
  <c r="J135" i="11" s="1"/>
  <c r="K212" i="11"/>
  <c r="K206" i="11"/>
  <c r="H203" i="11"/>
  <c r="J203" i="11" s="1"/>
  <c r="H185" i="11"/>
  <c r="J185" i="11" s="1"/>
  <c r="H213" i="11"/>
  <c r="J213" i="11" s="1"/>
  <c r="H192" i="11"/>
  <c r="J192" i="11" s="1"/>
  <c r="H108" i="11"/>
  <c r="J108" i="11" s="1"/>
  <c r="H175" i="11"/>
  <c r="J175" i="11" s="1"/>
  <c r="H134" i="11"/>
  <c r="J134" i="11" s="1"/>
  <c r="H218" i="11"/>
  <c r="J218" i="11" s="1"/>
  <c r="J196" i="11"/>
  <c r="H205" i="11"/>
  <c r="J205" i="11" s="1"/>
  <c r="H115" i="11"/>
  <c r="J115" i="11" s="1"/>
  <c r="H202" i="11"/>
  <c r="J202" i="11" s="1"/>
  <c r="H161" i="11"/>
  <c r="J161" i="11" s="1"/>
  <c r="H225" i="11"/>
  <c r="J225" i="11" s="1"/>
  <c r="H223" i="11"/>
  <c r="J223" i="11" s="1"/>
  <c r="H221" i="11"/>
  <c r="J221" i="11" s="1"/>
  <c r="H220" i="11"/>
  <c r="J220" i="11" s="1"/>
  <c r="H219" i="11"/>
  <c r="J219" i="11" s="1"/>
  <c r="H215" i="11"/>
  <c r="J215" i="11" s="1"/>
  <c r="H214" i="11"/>
  <c r="J214" i="11" s="1"/>
  <c r="H207" i="11"/>
  <c r="J207" i="11" s="1"/>
  <c r="J197" i="11"/>
  <c r="J188" i="11"/>
  <c r="J198" i="11"/>
  <c r="H200" i="11"/>
  <c r="J200" i="11" s="1"/>
  <c r="H199" i="11"/>
  <c r="J199" i="11" s="1"/>
  <c r="K198" i="11"/>
  <c r="H193" i="11"/>
  <c r="J193" i="11" s="1"/>
  <c r="H190" i="11"/>
  <c r="J190" i="11" s="1"/>
  <c r="H191" i="11"/>
  <c r="J191" i="11" s="1"/>
  <c r="H184" i="11"/>
  <c r="J184" i="11" s="1"/>
  <c r="H183" i="11"/>
  <c r="J183" i="11" s="1"/>
  <c r="H182" i="11"/>
  <c r="J182" i="11" s="1"/>
  <c r="H111" i="11"/>
  <c r="J111" i="11" s="1"/>
  <c r="H86" i="11"/>
  <c r="J86" i="11" s="1"/>
  <c r="H170" i="11"/>
  <c r="J170" i="11" s="1"/>
  <c r="H162" i="11"/>
  <c r="J162" i="11" s="1"/>
  <c r="H99" i="11"/>
  <c r="J99" i="11" s="1"/>
  <c r="H166" i="11"/>
  <c r="J166" i="11" s="1"/>
  <c r="H140" i="11"/>
  <c r="J140" i="11" s="1"/>
  <c r="H144" i="11"/>
  <c r="J144" i="11" s="1"/>
  <c r="H98" i="11"/>
  <c r="J98" i="11" s="1"/>
  <c r="H157" i="11"/>
  <c r="J157" i="11" s="1"/>
  <c r="H106" i="11"/>
  <c r="J106" i="11" s="1"/>
  <c r="H117" i="11"/>
  <c r="J117" i="11" s="1"/>
  <c r="H103" i="11"/>
  <c r="J103" i="11" s="1"/>
  <c r="H80" i="11"/>
  <c r="J80" i="11" s="1"/>
  <c r="H156" i="11"/>
  <c r="J156" i="11" s="1"/>
  <c r="H125" i="11"/>
  <c r="J125" i="11" s="1"/>
  <c r="H101" i="11"/>
  <c r="J101" i="11" s="1"/>
  <c r="H158" i="11"/>
  <c r="J158" i="11" s="1"/>
  <c r="H155" i="11"/>
  <c r="J155" i="11" s="1"/>
  <c r="H139" i="11"/>
  <c r="J139" i="11" s="1"/>
  <c r="H154" i="11"/>
  <c r="J154" i="11" s="1"/>
  <c r="H150" i="11"/>
  <c r="J150" i="11" s="1"/>
  <c r="K144" i="11"/>
  <c r="K135" i="11"/>
  <c r="H147" i="11"/>
  <c r="J147" i="11" s="1"/>
  <c r="H165" i="11"/>
  <c r="J165" i="11" s="1"/>
  <c r="H167" i="11"/>
  <c r="J167" i="11" s="1"/>
  <c r="H164" i="11"/>
  <c r="J164" i="11" s="1"/>
  <c r="H163" i="11"/>
  <c r="J163" i="11" s="1"/>
  <c r="K155" i="11"/>
  <c r="H153" i="11"/>
  <c r="J153" i="11" s="1"/>
  <c r="K154" i="11"/>
  <c r="H169" i="11"/>
  <c r="J169" i="11" s="1"/>
  <c r="H159" i="11"/>
  <c r="J159" i="11" s="1"/>
  <c r="H171" i="11"/>
  <c r="J171" i="11" s="1"/>
  <c r="H151" i="11"/>
  <c r="J151" i="11" s="1"/>
  <c r="H146" i="11"/>
  <c r="J146" i="11" s="1"/>
  <c r="H145" i="11"/>
  <c r="J145" i="11" s="1"/>
  <c r="K147" i="11"/>
  <c r="H138" i="11"/>
  <c r="J138" i="11" s="1"/>
  <c r="K139" i="11"/>
  <c r="H102" i="11"/>
  <c r="J102" i="11" s="1"/>
  <c r="H142" i="11"/>
  <c r="J142" i="11" s="1"/>
  <c r="H112" i="11"/>
  <c r="J112" i="11" s="1"/>
  <c r="H92" i="11"/>
  <c r="J92" i="11" s="1"/>
  <c r="J124" i="11"/>
  <c r="H100" i="11"/>
  <c r="J100" i="11" s="1"/>
  <c r="H137" i="11"/>
  <c r="J137" i="11" s="1"/>
  <c r="H143" i="11"/>
  <c r="J143" i="11" s="1"/>
  <c r="H141" i="11"/>
  <c r="J141" i="11" s="1"/>
  <c r="K137" i="11"/>
  <c r="H136" i="11"/>
  <c r="J136" i="11" s="1"/>
  <c r="H123" i="11"/>
  <c r="J123" i="11" s="1"/>
  <c r="H113" i="11"/>
  <c r="J113" i="11" s="1"/>
  <c r="J109" i="11"/>
  <c r="H7" i="11"/>
  <c r="J7" i="11" s="1"/>
  <c r="H95" i="11"/>
  <c r="J95" i="11" s="1"/>
  <c r="H81" i="11"/>
  <c r="J81" i="11" s="1"/>
  <c r="H30" i="11"/>
  <c r="J30" i="11" s="1"/>
  <c r="H37" i="11"/>
  <c r="J37" i="11" s="1"/>
  <c r="J93" i="11"/>
  <c r="H107" i="11"/>
  <c r="J107" i="11" s="1"/>
  <c r="H42" i="11"/>
  <c r="J42" i="11" s="1"/>
  <c r="H25" i="11"/>
  <c r="J25" i="11" s="1"/>
  <c r="H94" i="11"/>
  <c r="J94" i="11" s="1"/>
  <c r="H72" i="11"/>
  <c r="J72" i="11" s="1"/>
  <c r="H97" i="11"/>
  <c r="J97" i="11" s="1"/>
  <c r="H19" i="11"/>
  <c r="J19" i="11" s="1"/>
  <c r="H23" i="11"/>
  <c r="J23" i="11" s="1"/>
  <c r="H57" i="11"/>
  <c r="J57" i="11" s="1"/>
  <c r="H48" i="11"/>
  <c r="J48" i="11" s="1"/>
  <c r="H26" i="11"/>
  <c r="J26" i="11" s="1"/>
  <c r="H34" i="11"/>
  <c r="J34" i="11" s="1"/>
  <c r="H33" i="11"/>
  <c r="J33" i="11" s="1"/>
  <c r="H38" i="11"/>
  <c r="J38" i="11" s="1"/>
  <c r="H10" i="11"/>
  <c r="J10" i="11" s="1"/>
  <c r="H20" i="11"/>
  <c r="J20" i="11" s="1"/>
  <c r="H6" i="11"/>
  <c r="J6" i="11" s="1"/>
  <c r="H65" i="11"/>
  <c r="J65" i="11" s="1"/>
  <c r="H35" i="11"/>
  <c r="J35" i="11" s="1"/>
  <c r="H64" i="11"/>
  <c r="J64" i="11" s="1"/>
  <c r="H5" i="11"/>
  <c r="J5" i="11" s="1"/>
  <c r="H60" i="11"/>
  <c r="J60" i="11" s="1"/>
  <c r="H18" i="11"/>
  <c r="J18" i="11" s="1"/>
  <c r="H73" i="11"/>
  <c r="J73" i="11" s="1"/>
  <c r="K6" i="11"/>
  <c r="K19" i="11"/>
  <c r="H61" i="11"/>
  <c r="J61" i="11" s="1"/>
  <c r="H59" i="11"/>
  <c r="J59" i="11" s="1"/>
  <c r="K34" i="11"/>
  <c r="K5" i="11"/>
  <c r="K18" i="11"/>
  <c r="H51" i="11"/>
  <c r="J51" i="11" s="1"/>
  <c r="H4" i="11"/>
  <c r="J4" i="11" s="1"/>
  <c r="H22" i="11"/>
  <c r="J22" i="11" s="1"/>
  <c r="H17" i="11"/>
  <c r="J17" i="11" s="1"/>
  <c r="H31" i="11"/>
  <c r="J31" i="11" s="1"/>
  <c r="H21" i="11"/>
  <c r="J21" i="11" s="1"/>
  <c r="K21" i="11"/>
  <c r="H43" i="11"/>
  <c r="J43" i="11" s="1"/>
  <c r="H41" i="11"/>
  <c r="J41" i="11" s="1"/>
  <c r="H54" i="11"/>
  <c r="J54" i="11" s="1"/>
  <c r="H14" i="11"/>
  <c r="J14" i="11" s="1"/>
  <c r="H50" i="11"/>
  <c r="J50" i="11" s="1"/>
  <c r="K23" i="11"/>
  <c r="H79" i="11"/>
  <c r="J79" i="11" s="1"/>
  <c r="H58" i="11"/>
  <c r="J58" i="11" s="1"/>
  <c r="H78" i="11"/>
  <c r="J78" i="11" s="1"/>
  <c r="H84" i="11"/>
  <c r="J84" i="11" s="1"/>
  <c r="H70" i="11"/>
  <c r="J70" i="11" s="1"/>
  <c r="H62" i="11"/>
  <c r="J62" i="11" s="1"/>
  <c r="K60" i="11"/>
  <c r="H82" i="11"/>
  <c r="J82" i="11" s="1"/>
  <c r="H68" i="11"/>
  <c r="J68" i="11" s="1"/>
  <c r="H75" i="11"/>
  <c r="J75" i="11" s="1"/>
  <c r="H83" i="11"/>
  <c r="J83" i="11" s="1"/>
  <c r="H53" i="11"/>
  <c r="J53" i="11" s="1"/>
  <c r="H77" i="11"/>
  <c r="J77" i="11" s="1"/>
  <c r="H63" i="11"/>
  <c r="J63" i="11" s="1"/>
  <c r="K61" i="11"/>
  <c r="H55" i="11"/>
  <c r="J55" i="11" s="1"/>
  <c r="H52" i="11"/>
  <c r="J52" i="11" s="1"/>
  <c r="H56" i="11"/>
  <c r="J56" i="11" s="1"/>
  <c r="H66" i="11"/>
  <c r="J66" i="11" s="1"/>
  <c r="H44" i="11"/>
  <c r="J44" i="11" s="1"/>
  <c r="H39" i="11"/>
  <c r="J39" i="11" s="1"/>
  <c r="K38" i="11"/>
  <c r="H32" i="11"/>
  <c r="J32" i="11" s="1"/>
  <c r="H36" i="11"/>
  <c r="J36" i="11" s="1"/>
  <c r="H28" i="11"/>
  <c r="J28" i="11" s="1"/>
  <c r="H27" i="11"/>
  <c r="J27" i="11" s="1"/>
  <c r="H16" i="11"/>
  <c r="J16" i="11" s="1"/>
  <c r="H15" i="11"/>
  <c r="J15" i="11" s="1"/>
  <c r="H24" i="11"/>
  <c r="J24" i="11" s="1"/>
  <c r="E26" i="10"/>
  <c r="H11" i="11"/>
  <c r="J11" i="11" s="1"/>
  <c r="F26" i="10"/>
  <c r="C26" i="10"/>
  <c r="H12" i="11"/>
  <c r="J12" i="11" s="1"/>
  <c r="H8" i="11"/>
  <c r="J8" i="11" s="1"/>
  <c r="B19" i="10"/>
  <c r="C18" i="10"/>
  <c r="C19" i="10" s="1"/>
  <c r="D18" i="10"/>
  <c r="D19" i="10" s="1"/>
  <c r="E18" i="10"/>
  <c r="E19" i="10" s="1"/>
  <c r="F18" i="10"/>
  <c r="F19" i="10" s="1"/>
  <c r="B18" i="10"/>
  <c r="C730" i="8"/>
  <c r="C731" i="8" s="1"/>
  <c r="F698" i="8"/>
  <c r="D706" i="8"/>
  <c r="F706" i="8" s="1"/>
  <c r="D705" i="8"/>
  <c r="F705" i="8" s="1"/>
  <c r="D704" i="8"/>
  <c r="F704" i="8" s="1"/>
  <c r="D703" i="8"/>
  <c r="F703" i="8" s="1"/>
  <c r="D701" i="8"/>
  <c r="F701" i="8" s="1"/>
  <c r="D700" i="8"/>
  <c r="F700" i="8" s="1"/>
  <c r="D699" i="8"/>
  <c r="F699" i="8" s="1"/>
  <c r="D697" i="8"/>
  <c r="F697" i="8" s="1"/>
  <c r="C709" i="8" l="1"/>
  <c r="C710" i="8" s="1"/>
  <c r="J354" i="8"/>
  <c r="J356" i="8" s="1"/>
  <c r="J344" i="8"/>
  <c r="F687" i="8"/>
  <c r="G687" i="8" s="1"/>
  <c r="F685" i="8"/>
  <c r="G685" i="8" s="1"/>
  <c r="K687" i="8"/>
  <c r="K685" i="8"/>
  <c r="N688" i="8"/>
  <c r="D691" i="8" s="1"/>
  <c r="D692" i="8" s="1"/>
  <c r="M688" i="8"/>
  <c r="C691" i="8"/>
  <c r="C692" i="8" s="1"/>
  <c r="D689" i="8"/>
  <c r="D690" i="8" s="1"/>
  <c r="C689" i="8"/>
  <c r="C690" i="8" s="1"/>
  <c r="P687" i="8"/>
  <c r="O687" i="8"/>
  <c r="P685" i="8"/>
  <c r="O685" i="8"/>
  <c r="N675" i="8"/>
  <c r="D678" i="8" s="1"/>
  <c r="D679" i="8" s="1"/>
  <c r="M675" i="8"/>
  <c r="C678" i="8" s="1"/>
  <c r="C679" i="8" s="1"/>
  <c r="F674" i="8"/>
  <c r="G674" i="8" s="1"/>
  <c r="F673" i="8"/>
  <c r="G673" i="8" s="1"/>
  <c r="F672" i="8"/>
  <c r="G672" i="8" s="1"/>
  <c r="F671" i="8"/>
  <c r="G671" i="8" s="1"/>
  <c r="F670" i="8"/>
  <c r="G670" i="8" s="1"/>
  <c r="F669" i="8"/>
  <c r="G669" i="8" s="1"/>
  <c r="F668" i="8"/>
  <c r="G668" i="8" s="1"/>
  <c r="K674" i="8"/>
  <c r="K673" i="8"/>
  <c r="K672" i="8"/>
  <c r="K671" i="8"/>
  <c r="K670" i="8"/>
  <c r="K669" i="8"/>
  <c r="K668" i="8"/>
  <c r="O655" i="8"/>
  <c r="P674" i="8"/>
  <c r="O674" i="8"/>
  <c r="P673" i="8"/>
  <c r="O673" i="8"/>
  <c r="P672" i="8"/>
  <c r="O672" i="8"/>
  <c r="P671" i="8"/>
  <c r="O671" i="8"/>
  <c r="P670" i="8"/>
  <c r="O670" i="8"/>
  <c r="P669" i="8"/>
  <c r="O669" i="8"/>
  <c r="P668" i="8"/>
  <c r="O668" i="8"/>
  <c r="P655" i="8"/>
  <c r="D676" i="8"/>
  <c r="C676" i="8"/>
  <c r="C677" i="8" s="1"/>
  <c r="D677" i="8"/>
  <c r="C663" i="8"/>
  <c r="K653" i="8"/>
  <c r="K655" i="8"/>
  <c r="F655" i="8"/>
  <c r="G655" i="8" s="1"/>
  <c r="F654" i="8"/>
  <c r="G654" i="8" s="1"/>
  <c r="N656" i="8"/>
  <c r="P656" i="8" s="1"/>
  <c r="M656" i="8"/>
  <c r="C659" i="8" s="1"/>
  <c r="C660" i="8" s="1"/>
  <c r="D657" i="8"/>
  <c r="D658" i="8" s="1"/>
  <c r="C657" i="8"/>
  <c r="C658" i="8" s="1"/>
  <c r="K622" i="8"/>
  <c r="K621" i="8"/>
  <c r="K620" i="8"/>
  <c r="K619" i="8"/>
  <c r="K618" i="8"/>
  <c r="K617" i="8"/>
  <c r="K616" i="8"/>
  <c r="K615" i="8"/>
  <c r="K612" i="8"/>
  <c r="K611" i="8"/>
  <c r="K610" i="8"/>
  <c r="K605" i="8"/>
  <c r="K604" i="8"/>
  <c r="K603" i="8"/>
  <c r="K602" i="8"/>
  <c r="K599" i="8"/>
  <c r="K598" i="8"/>
  <c r="K597" i="8"/>
  <c r="K596" i="8"/>
  <c r="K593" i="8"/>
  <c r="K592" i="8"/>
  <c r="K591" i="8"/>
  <c r="K584" i="8"/>
  <c r="K588" i="8"/>
  <c r="K586" i="8"/>
  <c r="K581" i="8"/>
  <c r="K580" i="8"/>
  <c r="K576" i="8"/>
  <c r="K575" i="8"/>
  <c r="K574" i="8"/>
  <c r="K571" i="8"/>
  <c r="K570" i="8"/>
  <c r="K567" i="8"/>
  <c r="K566" i="8"/>
  <c r="K565" i="8"/>
  <c r="K564" i="8"/>
  <c r="K563" i="8"/>
  <c r="K562" i="8"/>
  <c r="K561" i="8"/>
  <c r="K560" i="8"/>
  <c r="K559" i="8"/>
  <c r="K558" i="8"/>
  <c r="K557" i="8"/>
  <c r="K553" i="8"/>
  <c r="K555" i="8"/>
  <c r="K552" i="8"/>
  <c r="F581" i="8"/>
  <c r="G581" i="8" s="1"/>
  <c r="F580" i="8"/>
  <c r="G580" i="8" s="1"/>
  <c r="F622" i="8"/>
  <c r="G622" i="8" s="1"/>
  <c r="F621" i="8"/>
  <c r="G621" i="8" s="1"/>
  <c r="F620" i="8"/>
  <c r="G620" i="8" s="1"/>
  <c r="F619" i="8"/>
  <c r="G619" i="8" s="1"/>
  <c r="F618" i="8"/>
  <c r="G618" i="8" s="1"/>
  <c r="F617" i="8"/>
  <c r="G617" i="8" s="1"/>
  <c r="F616" i="8"/>
  <c r="G616" i="8" s="1"/>
  <c r="F615" i="8"/>
  <c r="G615" i="8" s="1"/>
  <c r="F612" i="8"/>
  <c r="G612" i="8" s="1"/>
  <c r="F611" i="8"/>
  <c r="G611" i="8" s="1"/>
  <c r="F610" i="8"/>
  <c r="G610" i="8" s="1"/>
  <c r="F605" i="8"/>
  <c r="G605" i="8" s="1"/>
  <c r="F604" i="8"/>
  <c r="G604" i="8" s="1"/>
  <c r="F603" i="8"/>
  <c r="G603" i="8" s="1"/>
  <c r="F602" i="8"/>
  <c r="G602" i="8" s="1"/>
  <c r="F599" i="8"/>
  <c r="G599" i="8" s="1"/>
  <c r="F598" i="8"/>
  <c r="G598" i="8" s="1"/>
  <c r="F597" i="8"/>
  <c r="G597" i="8" s="1"/>
  <c r="F596" i="8"/>
  <c r="G596" i="8" s="1"/>
  <c r="F593" i="8"/>
  <c r="G593" i="8" s="1"/>
  <c r="F592" i="8"/>
  <c r="G592" i="8" s="1"/>
  <c r="F591" i="8"/>
  <c r="G591" i="8" s="1"/>
  <c r="F588" i="8"/>
  <c r="G588" i="8" s="1"/>
  <c r="F586" i="8"/>
  <c r="G586" i="8" s="1"/>
  <c r="F584" i="8"/>
  <c r="G584" i="8" s="1"/>
  <c r="F577" i="8"/>
  <c r="G577" i="8" s="1"/>
  <c r="F576" i="8"/>
  <c r="G576" i="8" s="1"/>
  <c r="F575" i="8"/>
  <c r="G575" i="8" s="1"/>
  <c r="F574" i="8"/>
  <c r="G574" i="8" s="1"/>
  <c r="F571" i="8"/>
  <c r="G571" i="8" s="1"/>
  <c r="F570" i="8"/>
  <c r="G570" i="8" s="1"/>
  <c r="F567" i="8"/>
  <c r="G567" i="8" s="1"/>
  <c r="F566" i="8"/>
  <c r="G566" i="8" s="1"/>
  <c r="F565" i="8"/>
  <c r="G565" i="8" s="1"/>
  <c r="F564" i="8"/>
  <c r="G564" i="8" s="1"/>
  <c r="F563" i="8"/>
  <c r="G563" i="8" s="1"/>
  <c r="F562" i="8"/>
  <c r="G562" i="8" s="1"/>
  <c r="F561" i="8"/>
  <c r="G561" i="8" s="1"/>
  <c r="F560" i="8"/>
  <c r="G560" i="8" s="1"/>
  <c r="F559" i="8"/>
  <c r="G559" i="8" s="1"/>
  <c r="F558" i="8"/>
  <c r="G558" i="8" s="1"/>
  <c r="F557" i="8"/>
  <c r="G557" i="8" s="1"/>
  <c r="F555" i="8"/>
  <c r="G555" i="8" s="1"/>
  <c r="F553" i="8"/>
  <c r="G553" i="8" s="1"/>
  <c r="F552" i="8"/>
  <c r="G552" i="8" s="1"/>
  <c r="D643" i="8"/>
  <c r="D644" i="8" s="1"/>
  <c r="D645" i="8"/>
  <c r="D646" i="8" s="1"/>
  <c r="D647" i="8"/>
  <c r="D648" i="8" s="1"/>
  <c r="D649" i="8"/>
  <c r="D650" i="8" s="1"/>
  <c r="C649" i="8"/>
  <c r="C650" i="8" s="1"/>
  <c r="C647" i="8"/>
  <c r="C648" i="8" s="1"/>
  <c r="C645" i="8"/>
  <c r="C646" i="8" s="1"/>
  <c r="C643" i="8"/>
  <c r="C644" i="8" s="1"/>
  <c r="D641" i="8"/>
  <c r="D642" i="8" s="1"/>
  <c r="C641" i="8"/>
  <c r="C642" i="8" s="1"/>
  <c r="D637" i="8"/>
  <c r="D638" i="8" s="1"/>
  <c r="D639" i="8"/>
  <c r="D640" i="8" s="1"/>
  <c r="C637" i="8"/>
  <c r="C638" i="8" s="1"/>
  <c r="C639" i="8"/>
  <c r="C640" i="8" s="1"/>
  <c r="D635" i="8"/>
  <c r="D636" i="8" s="1"/>
  <c r="C635" i="8"/>
  <c r="C636" i="8" s="1"/>
  <c r="D633" i="8"/>
  <c r="D634" i="8" s="1"/>
  <c r="C633" i="8"/>
  <c r="C634" i="8" s="1"/>
  <c r="D631" i="8"/>
  <c r="C631" i="8"/>
  <c r="C632" i="8" s="1"/>
  <c r="D629" i="8"/>
  <c r="D630" i="8" s="1"/>
  <c r="C629" i="8"/>
  <c r="N624" i="8"/>
  <c r="D627" i="8" s="1"/>
  <c r="D628" i="8" s="1"/>
  <c r="M624" i="8"/>
  <c r="C627" i="8" s="1"/>
  <c r="C628" i="8" s="1"/>
  <c r="P622" i="8"/>
  <c r="O622" i="8"/>
  <c r="P621" i="8"/>
  <c r="O621" i="8"/>
  <c r="P620" i="8"/>
  <c r="O620" i="8"/>
  <c r="P619" i="8"/>
  <c r="O619" i="8"/>
  <c r="P618" i="8"/>
  <c r="O618" i="8"/>
  <c r="P617" i="8"/>
  <c r="O617" i="8"/>
  <c r="P616" i="8"/>
  <c r="O616" i="8"/>
  <c r="P615" i="8"/>
  <c r="O615" i="8"/>
  <c r="P612" i="8"/>
  <c r="O612" i="8"/>
  <c r="P611" i="8"/>
  <c r="O611" i="8"/>
  <c r="P610" i="8"/>
  <c r="O610" i="8"/>
  <c r="P605" i="8"/>
  <c r="O605" i="8"/>
  <c r="P604" i="8"/>
  <c r="O604" i="8"/>
  <c r="P603" i="8"/>
  <c r="O603" i="8"/>
  <c r="P602" i="8"/>
  <c r="O602" i="8"/>
  <c r="P599" i="8"/>
  <c r="O599" i="8"/>
  <c r="P598" i="8"/>
  <c r="O598" i="8"/>
  <c r="P597" i="8"/>
  <c r="O597" i="8"/>
  <c r="P596" i="8"/>
  <c r="O596" i="8"/>
  <c r="P593" i="8"/>
  <c r="O593" i="8"/>
  <c r="P592" i="8"/>
  <c r="O592" i="8"/>
  <c r="P591" i="8"/>
  <c r="O591" i="8"/>
  <c r="P588" i="8"/>
  <c r="O588" i="8"/>
  <c r="P586" i="8"/>
  <c r="O586" i="8"/>
  <c r="P585" i="8"/>
  <c r="O585" i="8"/>
  <c r="P584" i="8"/>
  <c r="O584" i="8"/>
  <c r="P581" i="8"/>
  <c r="O581" i="8"/>
  <c r="P580" i="8"/>
  <c r="O580" i="8"/>
  <c r="P576" i="8"/>
  <c r="O576" i="8"/>
  <c r="P575" i="8"/>
  <c r="O575" i="8"/>
  <c r="P574" i="8"/>
  <c r="O574" i="8"/>
  <c r="P571" i="8"/>
  <c r="O571" i="8"/>
  <c r="P570" i="8"/>
  <c r="O570" i="8"/>
  <c r="P567" i="8"/>
  <c r="O567" i="8"/>
  <c r="P566" i="8"/>
  <c r="O566" i="8"/>
  <c r="P565" i="8"/>
  <c r="O565" i="8"/>
  <c r="P564" i="8"/>
  <c r="O564" i="8"/>
  <c r="P563" i="8"/>
  <c r="O563" i="8"/>
  <c r="P562" i="8"/>
  <c r="O562" i="8"/>
  <c r="P561" i="8"/>
  <c r="O561" i="8"/>
  <c r="P560" i="8"/>
  <c r="O560" i="8"/>
  <c r="P559" i="8"/>
  <c r="O559" i="8"/>
  <c r="P558" i="8"/>
  <c r="O558" i="8"/>
  <c r="P557" i="8"/>
  <c r="O557" i="8"/>
  <c r="P556" i="8"/>
  <c r="O556" i="8"/>
  <c r="P555" i="8"/>
  <c r="O555" i="8"/>
  <c r="P553" i="8"/>
  <c r="O553" i="8"/>
  <c r="P552" i="8"/>
  <c r="O552" i="8"/>
  <c r="F533" i="8"/>
  <c r="G533" i="8" s="1"/>
  <c r="F532" i="8"/>
  <c r="G532" i="8" s="1"/>
  <c r="F529" i="8"/>
  <c r="G529" i="8" s="1"/>
  <c r="F528" i="8"/>
  <c r="G528" i="8" s="1"/>
  <c r="F527" i="8"/>
  <c r="G527" i="8" s="1"/>
  <c r="F526" i="8"/>
  <c r="G526" i="8" s="1"/>
  <c r="F523" i="8"/>
  <c r="G523" i="8" s="1"/>
  <c r="F522" i="8"/>
  <c r="G522" i="8" s="1"/>
  <c r="F521" i="8"/>
  <c r="G521" i="8" s="1"/>
  <c r="F520" i="8"/>
  <c r="G520" i="8" s="1"/>
  <c r="F519" i="8"/>
  <c r="G519" i="8" s="1"/>
  <c r="F518" i="8"/>
  <c r="G518" i="8" s="1"/>
  <c r="F517" i="8"/>
  <c r="G517" i="8" s="1"/>
  <c r="F516" i="8"/>
  <c r="G516" i="8" s="1"/>
  <c r="F515" i="8"/>
  <c r="G515" i="8" s="1"/>
  <c r="F514" i="8"/>
  <c r="G514" i="8" s="1"/>
  <c r="F513" i="8"/>
  <c r="G513" i="8" s="1"/>
  <c r="F512" i="8"/>
  <c r="G512" i="8" s="1"/>
  <c r="F511" i="8"/>
  <c r="G511" i="8" s="1"/>
  <c r="F510" i="8"/>
  <c r="G510" i="8" s="1"/>
  <c r="F507" i="8"/>
  <c r="G507" i="8" s="1"/>
  <c r="F505" i="8"/>
  <c r="G505" i="8" s="1"/>
  <c r="D546" i="8"/>
  <c r="D547" i="8" s="1"/>
  <c r="C546" i="8"/>
  <c r="C547" i="8" s="1"/>
  <c r="D544" i="8"/>
  <c r="D545" i="8"/>
  <c r="C544" i="8"/>
  <c r="C545" i="8" s="1"/>
  <c r="D542" i="8"/>
  <c r="D543" i="8" s="1"/>
  <c r="C542" i="8"/>
  <c r="C543" i="8" s="1"/>
  <c r="D540" i="8"/>
  <c r="D541" i="8" s="1"/>
  <c r="C540" i="8"/>
  <c r="C541" i="8" s="1"/>
  <c r="D536" i="8"/>
  <c r="D537" i="8" s="1"/>
  <c r="C536" i="8"/>
  <c r="C537" i="8" s="1"/>
  <c r="N535" i="8"/>
  <c r="P535" i="8" s="1"/>
  <c r="M535" i="8"/>
  <c r="C538" i="8" s="1"/>
  <c r="C539" i="8" s="1"/>
  <c r="P507" i="8"/>
  <c r="O507" i="8"/>
  <c r="P533" i="8"/>
  <c r="O533" i="8"/>
  <c r="P532" i="8"/>
  <c r="O532" i="8"/>
  <c r="P529" i="8"/>
  <c r="O529" i="8"/>
  <c r="P528" i="8"/>
  <c r="O528" i="8"/>
  <c r="P527" i="8"/>
  <c r="O527" i="8"/>
  <c r="P526" i="8"/>
  <c r="O526" i="8"/>
  <c r="P523" i="8"/>
  <c r="O523" i="8"/>
  <c r="P522" i="8"/>
  <c r="O522" i="8"/>
  <c r="P521" i="8"/>
  <c r="O521" i="8"/>
  <c r="P520" i="8"/>
  <c r="O520" i="8"/>
  <c r="P519" i="8"/>
  <c r="O519" i="8"/>
  <c r="P518" i="8"/>
  <c r="O518" i="8"/>
  <c r="P517" i="8"/>
  <c r="O517" i="8"/>
  <c r="P516" i="8"/>
  <c r="O516" i="8"/>
  <c r="P515" i="8"/>
  <c r="O515" i="8"/>
  <c r="P514" i="8"/>
  <c r="O514" i="8"/>
  <c r="P513" i="8"/>
  <c r="O513" i="8"/>
  <c r="P512" i="8"/>
  <c r="O512" i="8"/>
  <c r="P511" i="8"/>
  <c r="O511" i="8"/>
  <c r="P510" i="8"/>
  <c r="O510" i="8"/>
  <c r="P505" i="8"/>
  <c r="O505" i="8"/>
  <c r="K508" i="8"/>
  <c r="K507" i="8"/>
  <c r="K535" i="8"/>
  <c r="K534" i="8"/>
  <c r="K533" i="8"/>
  <c r="K532" i="8"/>
  <c r="K531" i="8"/>
  <c r="K530" i="8"/>
  <c r="K529" i="8"/>
  <c r="K528" i="8"/>
  <c r="K527" i="8"/>
  <c r="K526" i="8"/>
  <c r="K525" i="8"/>
  <c r="K524" i="8"/>
  <c r="K523" i="8"/>
  <c r="K522" i="8"/>
  <c r="K521" i="8"/>
  <c r="K520" i="8"/>
  <c r="K519" i="8"/>
  <c r="K518" i="8"/>
  <c r="K517" i="8"/>
  <c r="K516" i="8"/>
  <c r="K515" i="8"/>
  <c r="K514" i="8"/>
  <c r="K513" i="8"/>
  <c r="K512" i="8"/>
  <c r="K511" i="8"/>
  <c r="K510" i="8"/>
  <c r="K509" i="8"/>
  <c r="K505" i="8"/>
  <c r="P495" i="8"/>
  <c r="O495" i="8"/>
  <c r="K495" i="8"/>
  <c r="F495" i="8"/>
  <c r="G495" i="8" s="1"/>
  <c r="D499" i="8"/>
  <c r="D500" i="8" s="1"/>
  <c r="C499" i="8"/>
  <c r="C500" i="8" s="1"/>
  <c r="D497" i="8"/>
  <c r="D498" i="8" s="1"/>
  <c r="C497" i="8"/>
  <c r="C498" i="8" s="1"/>
  <c r="P486" i="8"/>
  <c r="O486" i="8"/>
  <c r="K486" i="8"/>
  <c r="F486" i="8"/>
  <c r="G486" i="8" s="1"/>
  <c r="D490" i="8"/>
  <c r="D491" i="8" s="1"/>
  <c r="C490" i="8"/>
  <c r="C491" i="8" s="1"/>
  <c r="D488" i="8"/>
  <c r="D489" i="8" s="1"/>
  <c r="C488" i="8"/>
  <c r="C489" i="8" s="1"/>
  <c r="F477" i="8"/>
  <c r="G477" i="8" s="1"/>
  <c r="K477" i="8"/>
  <c r="P477" i="8"/>
  <c r="P468" i="8"/>
  <c r="O477" i="8"/>
  <c r="O468" i="8"/>
  <c r="D481" i="8"/>
  <c r="D482" i="8" s="1"/>
  <c r="C481" i="8"/>
  <c r="C482" i="8" s="1"/>
  <c r="D479" i="8"/>
  <c r="D480" i="8" s="1"/>
  <c r="C479" i="8"/>
  <c r="C480" i="8" s="1"/>
  <c r="F468" i="8"/>
  <c r="G468" i="8" s="1"/>
  <c r="K468" i="8"/>
  <c r="D472" i="8"/>
  <c r="D473" i="8" s="1"/>
  <c r="C472" i="8"/>
  <c r="C473" i="8" s="1"/>
  <c r="D470" i="8"/>
  <c r="D471" i="8" s="1"/>
  <c r="C470" i="8"/>
  <c r="C471" i="8" s="1"/>
  <c r="C61" i="9"/>
  <c r="C62" i="9" s="1"/>
  <c r="D61" i="9"/>
  <c r="D62" i="9" s="1"/>
  <c r="E61" i="9"/>
  <c r="E62" i="9" s="1"/>
  <c r="B61" i="9"/>
  <c r="B62" i="9" s="1"/>
  <c r="K456" i="8"/>
  <c r="K455" i="8"/>
  <c r="K454" i="8"/>
  <c r="K453" i="8"/>
  <c r="K452" i="8"/>
  <c r="K451" i="8"/>
  <c r="K450" i="8"/>
  <c r="K449" i="8"/>
  <c r="K448" i="8"/>
  <c r="K447" i="8"/>
  <c r="K446" i="8"/>
  <c r="K445" i="8"/>
  <c r="K444" i="8"/>
  <c r="K439" i="8"/>
  <c r="K438" i="8"/>
  <c r="K437" i="8"/>
  <c r="K436" i="8"/>
  <c r="K435" i="8"/>
  <c r="K434" i="8"/>
  <c r="K433" i="8"/>
  <c r="K432" i="8"/>
  <c r="K431" i="8"/>
  <c r="K430" i="8"/>
  <c r="F456" i="8"/>
  <c r="G456" i="8" s="1"/>
  <c r="F455" i="8"/>
  <c r="G455" i="8" s="1"/>
  <c r="F454" i="8"/>
  <c r="G454" i="8" s="1"/>
  <c r="F453" i="8"/>
  <c r="G453" i="8" s="1"/>
  <c r="F452" i="8"/>
  <c r="G452" i="8" s="1"/>
  <c r="F451" i="8"/>
  <c r="G451" i="8" s="1"/>
  <c r="F450" i="8"/>
  <c r="G450" i="8" s="1"/>
  <c r="F449" i="8"/>
  <c r="G449" i="8" s="1"/>
  <c r="F448" i="8"/>
  <c r="G448" i="8" s="1"/>
  <c r="F447" i="8"/>
  <c r="G447" i="8" s="1"/>
  <c r="F446" i="8"/>
  <c r="G446" i="8" s="1"/>
  <c r="F445" i="8"/>
  <c r="G445" i="8" s="1"/>
  <c r="F444" i="8"/>
  <c r="G444" i="8" s="1"/>
  <c r="F439" i="8"/>
  <c r="G439" i="8" s="1"/>
  <c r="F438" i="8"/>
  <c r="G438" i="8" s="1"/>
  <c r="F437" i="8"/>
  <c r="G437" i="8" s="1"/>
  <c r="F436" i="8"/>
  <c r="G436" i="8" s="1"/>
  <c r="F435" i="8"/>
  <c r="G435" i="8" s="1"/>
  <c r="F434" i="8"/>
  <c r="G434" i="8" s="1"/>
  <c r="F433" i="8"/>
  <c r="G433" i="8" s="1"/>
  <c r="F432" i="8"/>
  <c r="G432" i="8" s="1"/>
  <c r="F431" i="8"/>
  <c r="G431" i="8" s="1"/>
  <c r="F430" i="8"/>
  <c r="G430" i="8" s="1"/>
  <c r="N460" i="8"/>
  <c r="D463" i="8" s="1"/>
  <c r="D464" i="8" s="1"/>
  <c r="M460" i="8"/>
  <c r="C463" i="8" s="1"/>
  <c r="C464" i="8" s="1"/>
  <c r="O454" i="8"/>
  <c r="P454" i="8"/>
  <c r="O455" i="8"/>
  <c r="P455" i="8"/>
  <c r="O456" i="8"/>
  <c r="P456" i="8"/>
  <c r="P439" i="8"/>
  <c r="O439" i="8"/>
  <c r="P438" i="8"/>
  <c r="O438" i="8"/>
  <c r="P437" i="8"/>
  <c r="O437" i="8"/>
  <c r="P436" i="8"/>
  <c r="O436" i="8"/>
  <c r="P435" i="8"/>
  <c r="O435" i="8"/>
  <c r="P434" i="8"/>
  <c r="O434" i="8"/>
  <c r="P433" i="8"/>
  <c r="O433" i="8"/>
  <c r="P432" i="8"/>
  <c r="O432" i="8"/>
  <c r="P431" i="8"/>
  <c r="O431" i="8"/>
  <c r="P430" i="8"/>
  <c r="O430" i="8"/>
  <c r="P453" i="8"/>
  <c r="O453" i="8"/>
  <c r="P452" i="8"/>
  <c r="O452" i="8"/>
  <c r="P451" i="8"/>
  <c r="O451" i="8"/>
  <c r="P450" i="8"/>
  <c r="O450" i="8"/>
  <c r="P449" i="8"/>
  <c r="O449" i="8"/>
  <c r="P448" i="8"/>
  <c r="O448" i="8"/>
  <c r="P447" i="8"/>
  <c r="O447" i="8"/>
  <c r="P446" i="8"/>
  <c r="O446" i="8"/>
  <c r="P445" i="8"/>
  <c r="O445" i="8"/>
  <c r="P444" i="8"/>
  <c r="O444" i="8"/>
  <c r="P420" i="8"/>
  <c r="O420" i="8"/>
  <c r="D458" i="8"/>
  <c r="D459" i="8" s="1"/>
  <c r="C458" i="8"/>
  <c r="C459" i="8" s="1"/>
  <c r="D441" i="8"/>
  <c r="D442" i="8" s="1"/>
  <c r="C441" i="8"/>
  <c r="K420" i="8"/>
  <c r="F420" i="8"/>
  <c r="G420" i="8" s="1"/>
  <c r="D424" i="8"/>
  <c r="D425" i="8" s="1"/>
  <c r="C424" i="8"/>
  <c r="C425" i="8" s="1"/>
  <c r="D422" i="8"/>
  <c r="D423" i="8" s="1"/>
  <c r="C422" i="8"/>
  <c r="C423" i="8" s="1"/>
  <c r="K408" i="8"/>
  <c r="K403" i="8"/>
  <c r="K398" i="8"/>
  <c r="K397" i="8"/>
  <c r="K396" i="8"/>
  <c r="K395" i="8"/>
  <c r="K390" i="8"/>
  <c r="K389" i="8"/>
  <c r="K388" i="8"/>
  <c r="K387" i="8"/>
  <c r="K386" i="8"/>
  <c r="K381" i="8"/>
  <c r="K380" i="8"/>
  <c r="F408" i="8"/>
  <c r="G408" i="8" s="1"/>
  <c r="F403" i="8"/>
  <c r="G403" i="8" s="1"/>
  <c r="F398" i="8"/>
  <c r="G398" i="8" s="1"/>
  <c r="F397" i="8"/>
  <c r="G397" i="8" s="1"/>
  <c r="F396" i="8"/>
  <c r="G396" i="8" s="1"/>
  <c r="F395" i="8"/>
  <c r="G395" i="8" s="1"/>
  <c r="F390" i="8"/>
  <c r="G390" i="8" s="1"/>
  <c r="F389" i="8"/>
  <c r="G389" i="8" s="1"/>
  <c r="F388" i="8"/>
  <c r="G388" i="8" s="1"/>
  <c r="F387" i="8"/>
  <c r="G387" i="8" s="1"/>
  <c r="F386" i="8"/>
  <c r="G386" i="8" s="1"/>
  <c r="F381" i="8"/>
  <c r="G381" i="8" s="1"/>
  <c r="F380" i="8"/>
  <c r="G380" i="8" s="1"/>
  <c r="N413" i="8"/>
  <c r="M413" i="8"/>
  <c r="C415" i="8" s="1"/>
  <c r="C416" i="8" s="1"/>
  <c r="P408" i="8"/>
  <c r="O408" i="8"/>
  <c r="P403" i="8"/>
  <c r="O403" i="8"/>
  <c r="P398" i="8"/>
  <c r="O398" i="8"/>
  <c r="P397" i="8"/>
  <c r="O397" i="8"/>
  <c r="P396" i="8"/>
  <c r="O396" i="8"/>
  <c r="P395" i="8"/>
  <c r="O395" i="8"/>
  <c r="P390" i="8"/>
  <c r="O390" i="8"/>
  <c r="P389" i="8"/>
  <c r="O389" i="8"/>
  <c r="P388" i="8"/>
  <c r="O388" i="8"/>
  <c r="P387" i="8"/>
  <c r="O387" i="8"/>
  <c r="P386" i="8"/>
  <c r="O386" i="8"/>
  <c r="P381" i="8"/>
  <c r="O381" i="8"/>
  <c r="P380" i="8"/>
  <c r="O380" i="8"/>
  <c r="D410" i="8"/>
  <c r="D411" i="8" s="1"/>
  <c r="C410" i="8"/>
  <c r="D405" i="8"/>
  <c r="D406" i="8" s="1"/>
  <c r="C405" i="8"/>
  <c r="C406" i="8"/>
  <c r="D400" i="8"/>
  <c r="D401" i="8" s="1"/>
  <c r="C400" i="8"/>
  <c r="C401" i="8" s="1"/>
  <c r="D392" i="8"/>
  <c r="D393" i="8" s="1"/>
  <c r="C392" i="8"/>
  <c r="C393" i="8" s="1"/>
  <c r="C411" i="8"/>
  <c r="D383" i="8"/>
  <c r="C383" i="8"/>
  <c r="D374" i="8"/>
  <c r="D375" i="8" s="1"/>
  <c r="C374" i="8"/>
  <c r="C375" i="8" s="1"/>
  <c r="F370" i="8"/>
  <c r="G370" i="8" s="1"/>
  <c r="P370" i="8"/>
  <c r="O370" i="8"/>
  <c r="K370" i="8"/>
  <c r="K361" i="8"/>
  <c r="K360" i="8"/>
  <c r="K359" i="8"/>
  <c r="D372" i="8"/>
  <c r="D373" i="8" s="1"/>
  <c r="C372" i="8"/>
  <c r="C373" i="8" s="1"/>
  <c r="F361" i="8"/>
  <c r="G361" i="8" s="1"/>
  <c r="F360" i="8"/>
  <c r="G360" i="8" s="1"/>
  <c r="F359" i="8"/>
  <c r="G359" i="8" s="1"/>
  <c r="P361" i="8"/>
  <c r="O361" i="8"/>
  <c r="P360" i="8"/>
  <c r="O360" i="8"/>
  <c r="P359" i="8"/>
  <c r="O359" i="8"/>
  <c r="N362" i="8"/>
  <c r="D365" i="8" s="1"/>
  <c r="D366" i="8" s="1"/>
  <c r="M362" i="8"/>
  <c r="C365" i="8" s="1"/>
  <c r="C366" i="8" s="1"/>
  <c r="D363" i="8"/>
  <c r="D364" i="8" s="1"/>
  <c r="C363" i="8"/>
  <c r="C364" i="8" s="1"/>
  <c r="F343" i="8"/>
  <c r="F344" i="8"/>
  <c r="E344" i="8" s="1"/>
  <c r="F345" i="8"/>
  <c r="E345" i="8" s="1"/>
  <c r="F346" i="8"/>
  <c r="E346" i="8" s="1"/>
  <c r="F349" i="8"/>
  <c r="E349" i="8" s="1"/>
  <c r="F350" i="8"/>
  <c r="E350" i="8" s="1"/>
  <c r="F351" i="8"/>
  <c r="E351" i="8" s="1"/>
  <c r="F352" i="8"/>
  <c r="E352" i="8" s="1"/>
  <c r="F353" i="8"/>
  <c r="E353" i="8" s="1"/>
  <c r="F342" i="8"/>
  <c r="E342" i="8" s="1"/>
  <c r="B354" i="8"/>
  <c r="D354" i="8"/>
  <c r="D355" i="8" s="1"/>
  <c r="E355" i="8" s="1"/>
  <c r="C354" i="8"/>
  <c r="C355" i="8" s="1"/>
  <c r="C347" i="8"/>
  <c r="C348" i="8" s="1"/>
  <c r="D347" i="8"/>
  <c r="D348" i="8" s="1"/>
  <c r="B347" i="8"/>
  <c r="F347" i="8" s="1"/>
  <c r="F333" i="8"/>
  <c r="G333" i="8" s="1"/>
  <c r="F332" i="8"/>
  <c r="G332" i="8" s="1"/>
  <c r="F330" i="8"/>
  <c r="G330" i="8" s="1"/>
  <c r="F329" i="8"/>
  <c r="G329" i="8" s="1"/>
  <c r="K333" i="8"/>
  <c r="K332" i="8"/>
  <c r="K330" i="8"/>
  <c r="K329" i="8"/>
  <c r="N334" i="8"/>
  <c r="D337" i="8" s="1"/>
  <c r="D338" i="8" s="1"/>
  <c r="M334" i="8"/>
  <c r="O333" i="8"/>
  <c r="P333" i="8"/>
  <c r="P332" i="8"/>
  <c r="O332" i="8"/>
  <c r="P330" i="8"/>
  <c r="O330" i="8"/>
  <c r="P329" i="8"/>
  <c r="O329" i="8"/>
  <c r="N321" i="8"/>
  <c r="D324" i="8" s="1"/>
  <c r="D325" i="8" s="1"/>
  <c r="M321" i="8"/>
  <c r="C324" i="8" s="1"/>
  <c r="C325" i="8" s="1"/>
  <c r="D284" i="8"/>
  <c r="D285" i="8" s="1"/>
  <c r="C284" i="8"/>
  <c r="C285" i="8" s="1"/>
  <c r="D335" i="8"/>
  <c r="D336" i="8" s="1"/>
  <c r="C335" i="8"/>
  <c r="C336" i="8" s="1"/>
  <c r="F320" i="8"/>
  <c r="G320" i="8" s="1"/>
  <c r="F319" i="8"/>
  <c r="G319" i="8" s="1"/>
  <c r="F318" i="8"/>
  <c r="G318" i="8" s="1"/>
  <c r="F317" i="8"/>
  <c r="G317" i="8" s="1"/>
  <c r="F316" i="8"/>
  <c r="G316" i="8" s="1"/>
  <c r="F315" i="8"/>
  <c r="G315" i="8" s="1"/>
  <c r="F314" i="8"/>
  <c r="G314" i="8" s="1"/>
  <c r="K320" i="8"/>
  <c r="K319" i="8"/>
  <c r="K318" i="8"/>
  <c r="K317" i="8"/>
  <c r="K316" i="8"/>
  <c r="K315" i="8"/>
  <c r="K314" i="8"/>
  <c r="P320" i="8"/>
  <c r="O320" i="8"/>
  <c r="P319" i="8"/>
  <c r="O319" i="8"/>
  <c r="P318" i="8"/>
  <c r="O318" i="8"/>
  <c r="P317" i="8"/>
  <c r="O317" i="8"/>
  <c r="P316" i="8"/>
  <c r="O316" i="8"/>
  <c r="P315" i="8"/>
  <c r="O315" i="8"/>
  <c r="P314" i="8"/>
  <c r="O314" i="8"/>
  <c r="D322" i="8"/>
  <c r="D323" i="8" s="1"/>
  <c r="C322" i="8"/>
  <c r="C323" i="8" s="1"/>
  <c r="C309" i="8"/>
  <c r="C306" i="8"/>
  <c r="C299" i="8"/>
  <c r="C292" i="8"/>
  <c r="C293" i="8" s="1"/>
  <c r="D292" i="8"/>
  <c r="D293" i="8" s="1"/>
  <c r="B292" i="8"/>
  <c r="B293" i="8" s="1"/>
  <c r="F280" i="8"/>
  <c r="G280" i="8" s="1"/>
  <c r="P280" i="8"/>
  <c r="O280" i="8"/>
  <c r="P272" i="8"/>
  <c r="O272" i="8"/>
  <c r="P271" i="8"/>
  <c r="O271" i="8"/>
  <c r="P270" i="8"/>
  <c r="O270" i="8"/>
  <c r="P269" i="8"/>
  <c r="O269" i="8"/>
  <c r="P268" i="8"/>
  <c r="O268" i="8"/>
  <c r="P267" i="8"/>
  <c r="O267" i="8"/>
  <c r="K280" i="8"/>
  <c r="K272" i="8"/>
  <c r="K270" i="8"/>
  <c r="K269" i="8"/>
  <c r="K268" i="8"/>
  <c r="K267" i="8"/>
  <c r="F272" i="8"/>
  <c r="G272" i="8" s="1"/>
  <c r="F270" i="8"/>
  <c r="G270" i="8" s="1"/>
  <c r="F269" i="8"/>
  <c r="G269" i="8" s="1"/>
  <c r="F268" i="8"/>
  <c r="G268" i="8" s="1"/>
  <c r="F267" i="8"/>
  <c r="G267" i="8" s="1"/>
  <c r="N273" i="8"/>
  <c r="P273" i="8" s="1"/>
  <c r="M273" i="8"/>
  <c r="O273" i="8" s="1"/>
  <c r="D282" i="8"/>
  <c r="C282" i="8"/>
  <c r="D274" i="8"/>
  <c r="D275" i="8" s="1"/>
  <c r="C274" i="8"/>
  <c r="C275" i="8" s="1"/>
  <c r="D261" i="8"/>
  <c r="D262" i="8" s="1"/>
  <c r="C261" i="8"/>
  <c r="C262" i="8" s="1"/>
  <c r="F259" i="8"/>
  <c r="G259" i="8" s="1"/>
  <c r="K259" i="8"/>
  <c r="P259" i="8"/>
  <c r="O259" i="8"/>
  <c r="O460" i="8" l="1"/>
  <c r="C461" i="8"/>
  <c r="C462" i="8" s="1"/>
  <c r="P624" i="8"/>
  <c r="C442" i="8"/>
  <c r="C625" i="8"/>
  <c r="C626" i="8" s="1"/>
  <c r="C413" i="8"/>
  <c r="O413" i="8" s="1"/>
  <c r="O535" i="8"/>
  <c r="F354" i="8"/>
  <c r="E354" i="8" s="1"/>
  <c r="D625" i="8"/>
  <c r="D626" i="8" s="1"/>
  <c r="O624" i="8"/>
  <c r="C630" i="8"/>
  <c r="E347" i="8"/>
  <c r="D461" i="8"/>
  <c r="D462" i="8" s="1"/>
  <c r="D413" i="8"/>
  <c r="P413" i="8" s="1"/>
  <c r="P460" i="8"/>
  <c r="D659" i="8"/>
  <c r="D660" i="8" s="1"/>
  <c r="C310" i="8"/>
  <c r="B348" i="8"/>
  <c r="F348" i="8" s="1"/>
  <c r="E348" i="8" s="1"/>
  <c r="D538" i="8"/>
  <c r="D539" i="8" s="1"/>
  <c r="D632" i="8"/>
  <c r="O656" i="8"/>
  <c r="B355" i="8"/>
  <c r="O362" i="8"/>
  <c r="P362" i="8"/>
  <c r="C337" i="8"/>
  <c r="C338" i="8" s="1"/>
  <c r="C384" i="8"/>
  <c r="D384" i="8"/>
  <c r="D415" i="8"/>
  <c r="D416" i="8" s="1"/>
  <c r="C276" i="8"/>
  <c r="C277" i="8" s="1"/>
  <c r="D276" i="8"/>
  <c r="D277" i="8" s="1"/>
  <c r="D283" i="8"/>
  <c r="C283" i="8"/>
  <c r="K34" i="9"/>
  <c r="L34" i="9" s="1"/>
  <c r="K35" i="9"/>
  <c r="L35" i="9" s="1"/>
  <c r="K36" i="9"/>
  <c r="L36" i="9" s="1"/>
  <c r="K37" i="9"/>
  <c r="L37" i="9" s="1"/>
  <c r="K38" i="9"/>
  <c r="L38" i="9" s="1"/>
  <c r="K39" i="9"/>
  <c r="L39" i="9" s="1"/>
  <c r="K40" i="9"/>
  <c r="L40" i="9" s="1"/>
  <c r="K4" i="9"/>
  <c r="L4" i="9" s="1"/>
  <c r="K5" i="9"/>
  <c r="L5" i="9" s="1"/>
  <c r="K6" i="9"/>
  <c r="L6" i="9" s="1"/>
  <c r="K7" i="9"/>
  <c r="L7" i="9" s="1"/>
  <c r="K8" i="9"/>
  <c r="L8" i="9" s="1"/>
  <c r="K9" i="9"/>
  <c r="L9" i="9" s="1"/>
  <c r="K10" i="9"/>
  <c r="L10" i="9" s="1"/>
  <c r="K11" i="9"/>
  <c r="L11" i="9" s="1"/>
  <c r="K12" i="9"/>
  <c r="L12" i="9" s="1"/>
  <c r="K13" i="9"/>
  <c r="L13" i="9" s="1"/>
  <c r="K14" i="9"/>
  <c r="L14" i="9" s="1"/>
  <c r="K15" i="9"/>
  <c r="L15" i="9" s="1"/>
  <c r="K16" i="9"/>
  <c r="L16" i="9" s="1"/>
  <c r="K17" i="9"/>
  <c r="L17" i="9" s="1"/>
  <c r="K18" i="9"/>
  <c r="L18" i="9" s="1"/>
  <c r="K19" i="9"/>
  <c r="L19" i="9" s="1"/>
  <c r="K20" i="9"/>
  <c r="L20" i="9" s="1"/>
  <c r="K21" i="9"/>
  <c r="L21" i="9" s="1"/>
  <c r="K22" i="9"/>
  <c r="L22" i="9" s="1"/>
  <c r="K23" i="9"/>
  <c r="L23" i="9" s="1"/>
  <c r="K24" i="9"/>
  <c r="L24" i="9" s="1"/>
  <c r="K25" i="9"/>
  <c r="L25" i="9" s="1"/>
  <c r="K26" i="9"/>
  <c r="L26" i="9" s="1"/>
  <c r="K27" i="9"/>
  <c r="L27" i="9" s="1"/>
  <c r="K28" i="9"/>
  <c r="L28" i="9" s="1"/>
  <c r="K29" i="9"/>
  <c r="L29" i="9" s="1"/>
  <c r="K30" i="9"/>
  <c r="L30" i="9" s="1"/>
  <c r="K31" i="9"/>
  <c r="L31" i="9" s="1"/>
  <c r="K32" i="9"/>
  <c r="L32" i="9" s="1"/>
  <c r="K33" i="9"/>
  <c r="L33" i="9" s="1"/>
  <c r="K3" i="9"/>
  <c r="L3" i="9" s="1"/>
  <c r="I35" i="9"/>
  <c r="J35" i="9" s="1"/>
  <c r="I36" i="9"/>
  <c r="J36" i="9" s="1"/>
  <c r="I13" i="9"/>
  <c r="J13" i="9" s="1"/>
  <c r="I5" i="9"/>
  <c r="J5" i="9" s="1"/>
  <c r="I7" i="9"/>
  <c r="J7" i="9" s="1"/>
  <c r="I8" i="9"/>
  <c r="J8" i="9" s="1"/>
  <c r="I9" i="9"/>
  <c r="J9" i="9" s="1"/>
  <c r="I11" i="9"/>
  <c r="J11" i="9" s="1"/>
  <c r="I12" i="9"/>
  <c r="J12" i="9" s="1"/>
  <c r="I14" i="9"/>
  <c r="J14" i="9" s="1"/>
  <c r="I15" i="9"/>
  <c r="J15" i="9" s="1"/>
  <c r="I16" i="9"/>
  <c r="J16" i="9" s="1"/>
  <c r="I18" i="9"/>
  <c r="J18" i="9" s="1"/>
  <c r="I19" i="9"/>
  <c r="J19" i="9" s="1"/>
  <c r="I20" i="9"/>
  <c r="J20" i="9" s="1"/>
  <c r="I21" i="9"/>
  <c r="J21" i="9" s="1"/>
  <c r="I22" i="9"/>
  <c r="J22" i="9" s="1"/>
  <c r="I23" i="9"/>
  <c r="J23" i="9" s="1"/>
  <c r="I24" i="9"/>
  <c r="J24" i="9" s="1"/>
  <c r="I25" i="9"/>
  <c r="J25" i="9" s="1"/>
  <c r="I26" i="9"/>
  <c r="J26" i="9" s="1"/>
  <c r="I27" i="9"/>
  <c r="J27" i="9" s="1"/>
  <c r="I28" i="9"/>
  <c r="J28" i="9" s="1"/>
  <c r="I29" i="9"/>
  <c r="J29" i="9" s="1"/>
  <c r="I30" i="9"/>
  <c r="J30" i="9" s="1"/>
  <c r="I31" i="9"/>
  <c r="J31" i="9" s="1"/>
  <c r="I32" i="9"/>
  <c r="J32" i="9" s="1"/>
  <c r="I33" i="9"/>
  <c r="J33" i="9" s="1"/>
  <c r="I38" i="9"/>
  <c r="J38" i="9" s="1"/>
  <c r="I39" i="9"/>
  <c r="J39" i="9" s="1"/>
  <c r="I40" i="9"/>
  <c r="J40" i="9" s="1"/>
  <c r="I3" i="9"/>
  <c r="J3" i="9" s="1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F213" i="8"/>
  <c r="G213" i="8" s="1"/>
  <c r="F250" i="8"/>
  <c r="G250" i="8" s="1"/>
  <c r="F249" i="8"/>
  <c r="G249" i="8" s="1"/>
  <c r="F247" i="8"/>
  <c r="G247" i="8" s="1"/>
  <c r="F246" i="8"/>
  <c r="G246" i="8" s="1"/>
  <c r="F244" i="8"/>
  <c r="G244" i="8" s="1"/>
  <c r="F243" i="8"/>
  <c r="G243" i="8" s="1"/>
  <c r="F241" i="8"/>
  <c r="G241" i="8" s="1"/>
  <c r="F240" i="8"/>
  <c r="G240" i="8" s="1"/>
  <c r="F238" i="8"/>
  <c r="G238" i="8" s="1"/>
  <c r="F236" i="8"/>
  <c r="G236" i="8" s="1"/>
  <c r="F235" i="8"/>
  <c r="G235" i="8" s="1"/>
  <c r="F233" i="8"/>
  <c r="G233" i="8" s="1"/>
  <c r="F231" i="8"/>
  <c r="G231" i="8" s="1"/>
  <c r="F229" i="8"/>
  <c r="G229" i="8" s="1"/>
  <c r="F228" i="8"/>
  <c r="G228" i="8" s="1"/>
  <c r="F226" i="8"/>
  <c r="G226" i="8" s="1"/>
  <c r="F225" i="8"/>
  <c r="G225" i="8" s="1"/>
  <c r="F224" i="8"/>
  <c r="G224" i="8" s="1"/>
  <c r="F222" i="8"/>
  <c r="G222" i="8" s="1"/>
  <c r="F221" i="8"/>
  <c r="G221" i="8" s="1"/>
  <c r="F220" i="8"/>
  <c r="G220" i="8" s="1"/>
  <c r="F219" i="8"/>
  <c r="G219" i="8" s="1"/>
  <c r="F218" i="8"/>
  <c r="G218" i="8" s="1"/>
  <c r="F217" i="8"/>
  <c r="G217" i="8" s="1"/>
  <c r="F215" i="8"/>
  <c r="G215" i="8" s="1"/>
  <c r="F214" i="8"/>
  <c r="G214" i="8" s="1"/>
  <c r="F212" i="8"/>
  <c r="G212" i="8" s="1"/>
  <c r="F210" i="8"/>
  <c r="G210" i="8" s="1"/>
  <c r="F208" i="8"/>
  <c r="G208" i="8" s="1"/>
  <c r="D252" i="8"/>
  <c r="D253" i="8" s="1"/>
  <c r="C252" i="8"/>
  <c r="C253" i="8" s="1"/>
  <c r="N251" i="8"/>
  <c r="D254" i="8" s="1"/>
  <c r="D255" i="8" s="1"/>
  <c r="M251" i="8"/>
  <c r="O251" i="8" s="1"/>
  <c r="P250" i="8"/>
  <c r="O250" i="8"/>
  <c r="P249" i="8"/>
  <c r="O249" i="8"/>
  <c r="P248" i="8"/>
  <c r="O248" i="8"/>
  <c r="P247" i="8"/>
  <c r="O247" i="8"/>
  <c r="P246" i="8"/>
  <c r="O246" i="8"/>
  <c r="P245" i="8"/>
  <c r="O245" i="8"/>
  <c r="P244" i="8"/>
  <c r="O244" i="8"/>
  <c r="P243" i="8"/>
  <c r="O243" i="8"/>
  <c r="P242" i="8"/>
  <c r="O242" i="8"/>
  <c r="P241" i="8"/>
  <c r="O241" i="8"/>
  <c r="P240" i="8"/>
  <c r="O240" i="8"/>
  <c r="P239" i="8"/>
  <c r="O239" i="8"/>
  <c r="P238" i="8"/>
  <c r="O238" i="8"/>
  <c r="P237" i="8"/>
  <c r="O237" i="8"/>
  <c r="P236" i="8"/>
  <c r="O236" i="8"/>
  <c r="P235" i="8"/>
  <c r="O235" i="8"/>
  <c r="P234" i="8"/>
  <c r="O234" i="8"/>
  <c r="P233" i="8"/>
  <c r="O233" i="8"/>
  <c r="P232" i="8"/>
  <c r="O232" i="8"/>
  <c r="P231" i="8"/>
  <c r="O231" i="8"/>
  <c r="P230" i="8"/>
  <c r="O230" i="8"/>
  <c r="P229" i="8"/>
  <c r="O229" i="8"/>
  <c r="P228" i="8"/>
  <c r="O228" i="8"/>
  <c r="P227" i="8"/>
  <c r="O227" i="8"/>
  <c r="P226" i="8"/>
  <c r="O226" i="8"/>
  <c r="P225" i="8"/>
  <c r="O225" i="8"/>
  <c r="P224" i="8"/>
  <c r="O224" i="8"/>
  <c r="P223" i="8"/>
  <c r="O223" i="8"/>
  <c r="P222" i="8"/>
  <c r="O222" i="8"/>
  <c r="P221" i="8"/>
  <c r="O221" i="8"/>
  <c r="P220" i="8"/>
  <c r="O220" i="8"/>
  <c r="P219" i="8"/>
  <c r="O219" i="8"/>
  <c r="P218" i="8"/>
  <c r="O218" i="8"/>
  <c r="P217" i="8"/>
  <c r="O217" i="8"/>
  <c r="P216" i="8"/>
  <c r="O216" i="8"/>
  <c r="P215" i="8"/>
  <c r="O215" i="8"/>
  <c r="P214" i="8"/>
  <c r="O214" i="8"/>
  <c r="P213" i="8"/>
  <c r="O213" i="8"/>
  <c r="P212" i="8"/>
  <c r="O212" i="8"/>
  <c r="P211" i="8"/>
  <c r="O211" i="8"/>
  <c r="P210" i="8"/>
  <c r="O210" i="8"/>
  <c r="P208" i="8"/>
  <c r="O208" i="8"/>
  <c r="F203" i="8"/>
  <c r="G203" i="8" s="1"/>
  <c r="K203" i="8"/>
  <c r="P203" i="8"/>
  <c r="O203" i="8"/>
  <c r="F194" i="8"/>
  <c r="G194" i="8" s="1"/>
  <c r="F193" i="8"/>
  <c r="G193" i="8" s="1"/>
  <c r="F192" i="8"/>
  <c r="G192" i="8" s="1"/>
  <c r="F191" i="8"/>
  <c r="G191" i="8" s="1"/>
  <c r="O192" i="8"/>
  <c r="P192" i="8"/>
  <c r="O193" i="8"/>
  <c r="P193" i="8"/>
  <c r="P191" i="8"/>
  <c r="O191" i="8"/>
  <c r="N196" i="8"/>
  <c r="P196" i="8" s="1"/>
  <c r="O196" i="8"/>
  <c r="K192" i="8"/>
  <c r="K193" i="8"/>
  <c r="K194" i="8"/>
  <c r="K191" i="8"/>
  <c r="J195" i="8"/>
  <c r="K195" i="8" s="1"/>
  <c r="D196" i="8"/>
  <c r="D197" i="8" s="1"/>
  <c r="C196" i="8"/>
  <c r="C197" i="8" s="1"/>
  <c r="D199" i="8"/>
  <c r="C199" i="8"/>
  <c r="J158" i="8"/>
  <c r="K158" i="8" s="1"/>
  <c r="K156" i="8"/>
  <c r="K154" i="8"/>
  <c r="K153" i="8"/>
  <c r="K151" i="8"/>
  <c r="K149" i="8"/>
  <c r="K148" i="8"/>
  <c r="K147" i="8"/>
  <c r="K145" i="8"/>
  <c r="K143" i="8"/>
  <c r="K141" i="8"/>
  <c r="K140" i="8"/>
  <c r="K139" i="8"/>
  <c r="O174" i="8"/>
  <c r="O173" i="8"/>
  <c r="O172" i="8"/>
  <c r="O171" i="8"/>
  <c r="O170" i="8"/>
  <c r="O169" i="8"/>
  <c r="O168" i="8"/>
  <c r="O167" i="8"/>
  <c r="O166" i="8"/>
  <c r="O165" i="8"/>
  <c r="O164" i="8"/>
  <c r="C186" i="8"/>
  <c r="D186" i="8" s="1"/>
  <c r="C176" i="8"/>
  <c r="D176" i="8" s="1"/>
  <c r="F156" i="8"/>
  <c r="G156" i="8" s="1"/>
  <c r="F154" i="8"/>
  <c r="G154" i="8" s="1"/>
  <c r="F153" i="8"/>
  <c r="G153" i="8" s="1"/>
  <c r="F151" i="8"/>
  <c r="G151" i="8" s="1"/>
  <c r="F149" i="8"/>
  <c r="G149" i="8" s="1"/>
  <c r="F148" i="8"/>
  <c r="G148" i="8" s="1"/>
  <c r="F147" i="8"/>
  <c r="G147" i="8" s="1"/>
  <c r="F145" i="8"/>
  <c r="G145" i="8" s="1"/>
  <c r="F143" i="8"/>
  <c r="G143" i="8" s="1"/>
  <c r="F141" i="8"/>
  <c r="G141" i="8" s="1"/>
  <c r="F140" i="8"/>
  <c r="G140" i="8" s="1"/>
  <c r="F139" i="8"/>
  <c r="G139" i="8" s="1"/>
  <c r="N158" i="8"/>
  <c r="P158" i="8" s="1"/>
  <c r="M158" i="8"/>
  <c r="O158" i="8" s="1"/>
  <c r="P157" i="8"/>
  <c r="O157" i="8"/>
  <c r="P156" i="8"/>
  <c r="O156" i="8"/>
  <c r="P155" i="8"/>
  <c r="O155" i="8"/>
  <c r="P154" i="8"/>
  <c r="O154" i="8"/>
  <c r="P153" i="8"/>
  <c r="O153" i="8"/>
  <c r="P152" i="8"/>
  <c r="O152" i="8"/>
  <c r="P151" i="8"/>
  <c r="O151" i="8"/>
  <c r="P150" i="8"/>
  <c r="O150" i="8"/>
  <c r="P149" i="8"/>
  <c r="O149" i="8"/>
  <c r="P148" i="8"/>
  <c r="O148" i="8"/>
  <c r="P147" i="8"/>
  <c r="O147" i="8"/>
  <c r="P146" i="8"/>
  <c r="O146" i="8"/>
  <c r="P145" i="8"/>
  <c r="O145" i="8"/>
  <c r="P144" i="8"/>
  <c r="O144" i="8"/>
  <c r="P143" i="8"/>
  <c r="O143" i="8"/>
  <c r="P142" i="8"/>
  <c r="O142" i="8"/>
  <c r="P141" i="8"/>
  <c r="O141" i="8"/>
  <c r="P140" i="8"/>
  <c r="O140" i="8"/>
  <c r="P139" i="8"/>
  <c r="O139" i="8"/>
  <c r="D159" i="8"/>
  <c r="D160" i="8" s="1"/>
  <c r="C159" i="8"/>
  <c r="C160" i="8" s="1"/>
  <c r="D162" i="8"/>
  <c r="C16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C135" i="8"/>
  <c r="C134" i="8"/>
  <c r="C115" i="8"/>
  <c r="C114" i="8"/>
  <c r="C110" i="8"/>
  <c r="D110" i="8" s="1"/>
  <c r="C104" i="8"/>
  <c r="D104" i="8" s="1"/>
  <c r="C96" i="8"/>
  <c r="D96" i="8" s="1"/>
  <c r="F80" i="8"/>
  <c r="G80" i="8" s="1"/>
  <c r="F79" i="8"/>
  <c r="G79" i="8" s="1"/>
  <c r="F78" i="8"/>
  <c r="G78" i="8" s="1"/>
  <c r="F77" i="8"/>
  <c r="G77" i="8" s="1"/>
  <c r="F75" i="8"/>
  <c r="G75" i="8" s="1"/>
  <c r="F74" i="8"/>
  <c r="G74" i="8" s="1"/>
  <c r="F73" i="8"/>
  <c r="G73" i="8" s="1"/>
  <c r="F72" i="8"/>
  <c r="G72" i="8" s="1"/>
  <c r="F70" i="8"/>
  <c r="G70" i="8" s="1"/>
  <c r="F69" i="8"/>
  <c r="G69" i="8" s="1"/>
  <c r="F68" i="8"/>
  <c r="G68" i="8" s="1"/>
  <c r="F67" i="8"/>
  <c r="G67" i="8" s="1"/>
  <c r="F66" i="8"/>
  <c r="G66" i="8" s="1"/>
  <c r="F64" i="8"/>
  <c r="G64" i="8" s="1"/>
  <c r="F63" i="8"/>
  <c r="G63" i="8" s="1"/>
  <c r="F61" i="8"/>
  <c r="G61" i="8" s="1"/>
  <c r="F60" i="8"/>
  <c r="G60" i="8" s="1"/>
  <c r="F59" i="8"/>
  <c r="G59" i="8" s="1"/>
  <c r="F58" i="8"/>
  <c r="G58" i="8" s="1"/>
  <c r="F57" i="8"/>
  <c r="G57" i="8" s="1"/>
  <c r="N83" i="8"/>
  <c r="M83" i="8"/>
  <c r="N82" i="8"/>
  <c r="D84" i="8" s="1"/>
  <c r="D85" i="8" s="1"/>
  <c r="M82" i="8"/>
  <c r="C84" i="8" s="1"/>
  <c r="C85" i="8" s="1"/>
  <c r="D82" i="8"/>
  <c r="D83" i="8" s="1"/>
  <c r="C82" i="8"/>
  <c r="C83" i="8" s="1"/>
  <c r="P79" i="8"/>
  <c r="O79" i="8"/>
  <c r="P78" i="8"/>
  <c r="O78" i="8"/>
  <c r="P77" i="8"/>
  <c r="O77" i="8"/>
  <c r="P74" i="8"/>
  <c r="O74" i="8"/>
  <c r="P73" i="8"/>
  <c r="O73" i="8"/>
  <c r="P72" i="8"/>
  <c r="O72" i="8"/>
  <c r="P69" i="8"/>
  <c r="O69" i="8"/>
  <c r="P68" i="8"/>
  <c r="O68" i="8"/>
  <c r="P67" i="8"/>
  <c r="O67" i="8"/>
  <c r="P66" i="8"/>
  <c r="O66" i="8"/>
  <c r="O58" i="8"/>
  <c r="P58" i="8"/>
  <c r="O59" i="8"/>
  <c r="P59" i="8"/>
  <c r="O60" i="8"/>
  <c r="P60" i="8"/>
  <c r="O61" i="8"/>
  <c r="P61" i="8"/>
  <c r="O62" i="8"/>
  <c r="P62" i="8"/>
  <c r="O63" i="8"/>
  <c r="P63" i="8"/>
  <c r="P57" i="8"/>
  <c r="O57" i="8"/>
  <c r="K36" i="8"/>
  <c r="K35" i="8"/>
  <c r="K34" i="8"/>
  <c r="K33" i="8"/>
  <c r="C52" i="8"/>
  <c r="C53" i="8" s="1"/>
  <c r="F35" i="8"/>
  <c r="G35" i="8" s="1"/>
  <c r="F34" i="8"/>
  <c r="G34" i="8" s="1"/>
  <c r="F33" i="8"/>
  <c r="G33" i="8" s="1"/>
  <c r="D40" i="8"/>
  <c r="C40" i="8"/>
  <c r="D37" i="8"/>
  <c r="D38" i="8" s="1"/>
  <c r="C37" i="8"/>
  <c r="C38" i="8" s="1"/>
  <c r="D17" i="8"/>
  <c r="C17" i="8"/>
  <c r="C14" i="8"/>
  <c r="C15" i="8" s="1"/>
  <c r="D14" i="8"/>
  <c r="D28" i="8"/>
  <c r="D29" i="8" s="1"/>
  <c r="C28" i="8"/>
  <c r="C29" i="8" s="1"/>
  <c r="D21" i="8"/>
  <c r="C21" i="8"/>
  <c r="K13" i="8"/>
  <c r="K7" i="8"/>
  <c r="K8" i="8"/>
  <c r="K9" i="8"/>
  <c r="K10" i="8"/>
  <c r="K11" i="8"/>
  <c r="K12" i="8"/>
  <c r="K6" i="8"/>
  <c r="C414" i="8" l="1"/>
  <c r="D414" i="8"/>
  <c r="C254" i="8"/>
  <c r="C255" i="8" s="1"/>
  <c r="P251" i="8"/>
  <c r="M84" i="8"/>
  <c r="N84" i="8"/>
  <c r="F7" i="8" l="1"/>
  <c r="G7" i="8" s="1"/>
  <c r="F9" i="8"/>
  <c r="G9" i="8" s="1"/>
  <c r="F10" i="8"/>
  <c r="G10" i="8" s="1"/>
  <c r="F12" i="8"/>
  <c r="G12" i="8" s="1"/>
  <c r="F6" i="8"/>
  <c r="G6" i="8" s="1"/>
  <c r="D15" i="8"/>
  <c r="J61" i="7" l="1"/>
  <c r="H61" i="7"/>
  <c r="G61" i="7"/>
  <c r="K59" i="7"/>
  <c r="I59" i="7"/>
  <c r="I56" i="7"/>
  <c r="K55" i="7"/>
  <c r="I55" i="7"/>
  <c r="K53" i="7"/>
  <c r="I53" i="7"/>
  <c r="K52" i="7"/>
  <c r="I52" i="7"/>
  <c r="K50" i="7"/>
  <c r="I50" i="7"/>
  <c r="K49" i="7"/>
  <c r="I49" i="7"/>
  <c r="K47" i="7"/>
  <c r="I47" i="7"/>
  <c r="K46" i="7"/>
  <c r="I46" i="7"/>
  <c r="K43" i="7"/>
  <c r="I43" i="7"/>
  <c r="K42" i="7"/>
  <c r="I42" i="7"/>
  <c r="K41" i="7"/>
  <c r="I41" i="7"/>
  <c r="K39" i="7"/>
  <c r="I39" i="7"/>
  <c r="K38" i="7"/>
  <c r="I38" i="7"/>
  <c r="K37" i="7"/>
  <c r="I37" i="7"/>
  <c r="K35" i="7"/>
  <c r="I35" i="7"/>
  <c r="K34" i="7"/>
  <c r="I34" i="7"/>
  <c r="K33" i="7"/>
  <c r="I33" i="7"/>
  <c r="K26" i="7"/>
  <c r="I26" i="7"/>
  <c r="K25" i="7"/>
  <c r="I25" i="7"/>
  <c r="K24" i="7"/>
  <c r="I24" i="7"/>
  <c r="K23" i="7"/>
  <c r="I23" i="7"/>
  <c r="J21" i="7"/>
  <c r="H21" i="7"/>
  <c r="G21" i="7"/>
  <c r="K20" i="7"/>
  <c r="I20" i="7"/>
  <c r="K19" i="7"/>
  <c r="I19" i="7"/>
  <c r="K18" i="7"/>
  <c r="I18" i="7"/>
  <c r="J14" i="7"/>
  <c r="H14" i="7"/>
  <c r="G14" i="7"/>
  <c r="K13" i="7"/>
  <c r="I13" i="7"/>
  <c r="K12" i="7"/>
  <c r="I12" i="7"/>
  <c r="K11" i="7"/>
  <c r="I11" i="7"/>
  <c r="D23" i="2"/>
  <c r="E36" i="4"/>
  <c r="E40" i="4" s="1"/>
  <c r="D36" i="4"/>
  <c r="D40" i="4" s="1"/>
  <c r="E31" i="4"/>
  <c r="D31" i="4"/>
  <c r="E27" i="4"/>
  <c r="D27" i="4"/>
  <c r="E21" i="4"/>
  <c r="D21" i="4"/>
  <c r="E15" i="4"/>
  <c r="D15" i="4"/>
  <c r="D10" i="3"/>
  <c r="E10" i="3"/>
  <c r="E15" i="2"/>
  <c r="E30" i="1"/>
  <c r="E15" i="1"/>
  <c r="D15" i="1"/>
  <c r="G28" i="7" l="1"/>
  <c r="H28" i="7"/>
  <c r="H76" i="7"/>
  <c r="K14" i="7"/>
  <c r="I21" i="7"/>
  <c r="J28" i="7"/>
  <c r="J76" i="7"/>
  <c r="D32" i="4"/>
  <c r="K21" i="7"/>
  <c r="K28" i="7" s="1"/>
  <c r="E32" i="4"/>
  <c r="D23" i="1"/>
  <c r="E23" i="1"/>
  <c r="D22" i="4"/>
  <c r="D85" i="15" s="1"/>
  <c r="E85" i="15" s="1"/>
  <c r="K61" i="7"/>
  <c r="I61" i="7"/>
  <c r="D38" i="1"/>
  <c r="D702" i="8"/>
  <c r="F702" i="8" s="1"/>
  <c r="E38" i="1"/>
  <c r="D15" i="2"/>
  <c r="G76" i="7"/>
  <c r="E22" i="4"/>
  <c r="I14" i="7"/>
  <c r="E15" i="3"/>
  <c r="F137" i="15" s="1"/>
  <c r="D15" i="3"/>
  <c r="E25" i="2"/>
  <c r="E29" i="2" s="1"/>
  <c r="G138" i="15" l="1"/>
  <c r="F138" i="15"/>
  <c r="I28" i="7"/>
  <c r="E43" i="1"/>
  <c r="G77" i="7"/>
  <c r="D43" i="1"/>
  <c r="K76" i="7"/>
  <c r="E41" i="4"/>
  <c r="B27" i="10"/>
  <c r="B28" i="10" s="1"/>
  <c r="D25" i="2"/>
  <c r="D29" i="2" s="1"/>
  <c r="H77" i="7"/>
  <c r="D708" i="8"/>
  <c r="F708" i="8" s="1"/>
  <c r="D41" i="4"/>
  <c r="D44" i="4" s="1"/>
  <c r="I76" i="7"/>
  <c r="J77" i="7"/>
  <c r="B22" i="10"/>
  <c r="I77" i="7" l="1"/>
  <c r="D696" i="8"/>
  <c r="F696" i="8" s="1"/>
  <c r="K77" i="7"/>
  <c r="B21" i="10"/>
  <c r="B2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COA</author>
  </authors>
  <commentList>
    <comment ref="D280" authorId="0" shapeId="0" xr:uid="{32424915-751F-44F4-AC7F-72E612FEE5A6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revised NFS</t>
        </r>
      </text>
    </comment>
    <comment ref="C495" authorId="0" shapeId="0" xr:uid="{24ED4CBD-F608-4A6F-815A-C2B7E330B6CD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revised NFS</t>
        </r>
      </text>
    </comment>
    <comment ref="C496" authorId="0" shapeId="0" xr:uid="{80E27590-F0B1-4458-AE73-7D6035E54E47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revised NFS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COA</author>
  </authors>
  <commentList>
    <comment ref="H35" authorId="0" shapeId="0" xr:uid="{413E49A5-D2BB-4600-84D8-D697CAFABA90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previous total 2233869940.56
adjusted per revised NFS</t>
        </r>
      </text>
    </comment>
    <comment ref="H36" authorId="0" shapeId="0" xr:uid="{6A3E01B7-E4EA-47F8-ADFC-FA4F977E53FC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previous total 3985965127.21
adjusted per revised NFS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COA</author>
  </authors>
  <commentList>
    <comment ref="B41" authorId="0" shapeId="0" xr:uid="{B5BB185F-B1DF-4ECE-AF22-F8C91310925D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revised NFS</t>
        </r>
      </text>
    </comment>
    <comment ref="C41" authorId="0" shapeId="0" xr:uid="{E120E51F-70CD-4F6F-9501-33F761BE04B8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revised NFS</t>
        </r>
      </text>
    </comment>
    <comment ref="B46" authorId="0" shapeId="0" xr:uid="{DAE538E0-4134-48AD-8F79-C9966744D85B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previous total 1375976264.64
adjusted per revised NFS</t>
        </r>
      </text>
    </comment>
    <comment ref="B47" authorId="0" shapeId="0" xr:uid="{445AAEE4-AD18-48FF-ADD5-F34B330A9B80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previous total 28215254596.79
adjusted per revised NFS</t>
        </r>
      </text>
    </comment>
    <comment ref="C47" authorId="0" shapeId="0" xr:uid="{5A8EEA5B-856E-46A4-A210-B875F769B94B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previous total 3863038403.05
adjusted per revised NFS</t>
        </r>
      </text>
    </comment>
    <comment ref="B89" authorId="0" shapeId="0" xr:uid="{56000F3F-3837-4A90-8CAC-C169C25A33C6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previous total 62542872024.92
adjusted per revised NFS</t>
        </r>
      </text>
    </comment>
    <comment ref="C89" authorId="0" shapeId="0" xr:uid="{816AA146-710A-4CFB-BE64-FD21455902C1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previous total 
3863038403.05
adjusted per revised NFS</t>
        </r>
      </text>
    </comment>
    <comment ref="I249" authorId="0" shapeId="0" xr:uid="{11173088-C4A9-49E9-B369-44C7279AADA9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amount per NFS 2021</t>
        </r>
      </text>
    </comment>
    <comment ref="I250" authorId="0" shapeId="0" xr:uid="{F8F3FDCD-D3C6-4B80-BEA4-E233603EEEC5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amount per NFS 2021</t>
        </r>
      </text>
    </comment>
    <comment ref="C271" authorId="0" shapeId="0" xr:uid="{D0E1CD74-1378-46B0-84CA-E7F2EE10DE0D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  <comment ref="D271" authorId="0" shapeId="0" xr:uid="{E7E9D253-D30D-4B69-A264-1D9DF254AB46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  <comment ref="C274" authorId="0" shapeId="0" xr:uid="{7A6678AA-E91D-4171-ACCD-09CA02C818E9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  <comment ref="D274" authorId="0" shapeId="0" xr:uid="{744AEEC9-7B5F-4343-A370-D52FD00981EA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  <comment ref="C277" authorId="0" shapeId="0" xr:uid="{8CA48B8B-C83A-425C-B148-8A9B447E9567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  <comment ref="D277" authorId="0" shapeId="0" xr:uid="{02851077-A4EE-44C8-BADC-519C6AE5CD1F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  <comment ref="C278" authorId="0" shapeId="0" xr:uid="{91FE7DC0-CAE9-4F0E-83EF-73D64A5F2DE1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  <comment ref="D278" authorId="0" shapeId="0" xr:uid="{9A29BB21-537B-4BCF-B834-C9C633A6916B}">
      <text>
        <r>
          <rPr>
            <b/>
            <sz val="9"/>
            <color indexed="81"/>
            <rFont val="Tahoma"/>
            <family val="2"/>
          </rPr>
          <t>COA:</t>
        </r>
        <r>
          <rPr>
            <sz val="9"/>
            <color indexed="81"/>
            <rFont val="Tahoma"/>
            <family val="2"/>
          </rPr>
          <t xml:space="preserve">
adjusted per NFS</t>
        </r>
      </text>
    </comment>
  </commentList>
</comments>
</file>

<file path=xl/sharedStrings.xml><?xml version="1.0" encoding="utf-8"?>
<sst xmlns="http://schemas.openxmlformats.org/spreadsheetml/2006/main" count="2027" uniqueCount="900">
  <si>
    <t>CITY OF MANILA</t>
  </si>
  <si>
    <t>Note</t>
  </si>
  <si>
    <t>ASSETS</t>
  </si>
  <si>
    <t>Current Assets</t>
  </si>
  <si>
    <t>Cash and Cash Equivalents</t>
  </si>
  <si>
    <t>Investments</t>
  </si>
  <si>
    <t>Receivables</t>
  </si>
  <si>
    <t>Inventories</t>
  </si>
  <si>
    <t>Prepayments and Deferred Charges</t>
  </si>
  <si>
    <t>Total Current Assets</t>
  </si>
  <si>
    <t>Non-Current Assets</t>
  </si>
  <si>
    <t>Investment Property</t>
  </si>
  <si>
    <t xml:space="preserve">Property, Plant and Equipment 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</si>
  <si>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</si>
  <si>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</si>
  <si>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</si>
  <si>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</si>
  <si>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</si>
  <si>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</si>
  <si>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Total Current Liabilities</t>
  </si>
  <si>
    <t>Non-Current Liabilities</t>
  </si>
  <si>
    <t>Trust Liabilities</t>
  </si>
  <si>
    <t>Deferred Credits/Unearned Income</t>
  </si>
  <si>
    <t>Other Payables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</si>
  <si>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</si>
  <si>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</si>
  <si>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</si>
  <si>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</si>
  <si>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</si>
  <si>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See Accompanying Notes to Financial Statements</t>
  </si>
  <si>
    <t xml:space="preserve">Revenue </t>
  </si>
  <si>
    <t>Tax Revenue</t>
  </si>
  <si>
    <t>Service and Business Income</t>
  </si>
  <si>
    <t>Shares, Grants and Donations</t>
  </si>
  <si>
    <t>Miscellaneous Income</t>
  </si>
  <si>
    <t>Total</t>
  </si>
  <si>
    <t>Less: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</si>
  <si>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</si>
  <si>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</si>
  <si>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</si>
  <si>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</si>
  <si>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</si>
  <si>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Add (Deduct):</t>
  </si>
  <si>
    <t>Surplus (Deficit) for the period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</si>
  <si>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</si>
  <si>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</si>
  <si>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</si>
  <si>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</si>
  <si>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</si>
  <si>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</si>
  <si>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</si>
  <si>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</si>
  <si>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</si>
  <si>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</si>
  <si>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</si>
  <si>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</si>
  <si>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</si>
  <si>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</si>
  <si>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</si>
  <si>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</si>
  <si>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Net Cash Flows from  Investing Activities</t>
  </si>
  <si>
    <t>Cash Flows from Financing Activities</t>
  </si>
  <si>
    <t>Payment of loan amortization</t>
  </si>
  <si>
    <t>Net Cash Flows from Financing Activities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</si>
  <si>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</si>
  <si>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</si>
  <si>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</si>
  <si>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</si>
  <si>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</si>
  <si>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</si>
  <si>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</si>
  <si>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</si>
  <si>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</si>
  <si>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</si>
  <si>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</si>
  <si>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a.</t>
  </si>
  <si>
    <t>b.</t>
  </si>
  <si>
    <t>Other Local Taxes</t>
  </si>
  <si>
    <t>c.</t>
  </si>
  <si>
    <t>Total Tax Revenue</t>
  </si>
  <si>
    <t>2.</t>
  </si>
  <si>
    <t>Non-Tax Revenue</t>
  </si>
  <si>
    <t>Total Non-Tax Revenue</t>
  </si>
  <si>
    <t>B.</t>
  </si>
  <si>
    <t>External Sources</t>
  </si>
  <si>
    <t>Share from the National Internal Revenue Taxes (IRA)</t>
  </si>
  <si>
    <t>Sale of Capital Assets</t>
  </si>
  <si>
    <t>C.</t>
  </si>
  <si>
    <t>Receipts from Borrowings</t>
  </si>
  <si>
    <t>Total Revenues and Receipts</t>
  </si>
  <si>
    <t>Current Appropriations</t>
  </si>
  <si>
    <t xml:space="preserve">Expenditures 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</si>
  <si>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</si>
  <si>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</si>
  <si>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</si>
  <si>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</si>
  <si>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</si>
  <si>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</si>
  <si>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Financial Expense</t>
  </si>
  <si>
    <t>Amortization</t>
  </si>
  <si>
    <t>Debt Service</t>
  </si>
  <si>
    <t>LDRRMF</t>
  </si>
  <si>
    <t>20% Development Fund</t>
  </si>
  <si>
    <t>Allocation for Senior Citizens and PWD</t>
  </si>
  <si>
    <t>Total Current Appropriations</t>
  </si>
  <si>
    <t>Education</t>
  </si>
  <si>
    <t>Add: Cash at the Beginning of the Year</t>
  </si>
  <si>
    <t>Cash Balance as at December 31</t>
  </si>
  <si>
    <t>Surplus(Deficit) for the Period</t>
  </si>
  <si>
    <t>STATEMENT OF FINANCIAL POSITION</t>
  </si>
  <si>
    <t>STATEMENT OF FINANCIAL PERFORMANCE</t>
  </si>
  <si>
    <t xml:space="preserve"> STATEMENT OF CHANGES IN NET ASSETS/EQUITY</t>
  </si>
  <si>
    <t>STATEMENT OF COMPARISON OF BUDGET AND ACTUAL AMOUNTS</t>
  </si>
  <si>
    <t>STATEMENT OF CASH FLOWS</t>
  </si>
  <si>
    <t>Balance at January 1</t>
  </si>
  <si>
    <t>Balance at December 31</t>
  </si>
  <si>
    <t>Tax Revenue - Property</t>
  </si>
  <si>
    <t>Tax Revenue - Goods and Services</t>
  </si>
  <si>
    <t>Others</t>
  </si>
  <si>
    <t>Total Appropriations</t>
  </si>
  <si>
    <t>Gain on Sale of Assets</t>
  </si>
  <si>
    <t>Proceeds from Loans</t>
  </si>
  <si>
    <t>Surplus for the period</t>
  </si>
  <si>
    <t>Add: Changes in net assets/equity</t>
  </si>
  <si>
    <t>Restated Balance</t>
  </si>
  <si>
    <t>Intagible Assets</t>
  </si>
  <si>
    <t>Share from Internal Revenue Collections</t>
  </si>
  <si>
    <t>Financial Liabilities - Non-Current</t>
  </si>
  <si>
    <t>Continuing Appropriations</t>
  </si>
  <si>
    <t>Total Continuing Appropriations</t>
  </si>
  <si>
    <t>a.  Permit and Licence Fee</t>
  </si>
  <si>
    <t>b.  Other Fees</t>
  </si>
  <si>
    <t>c.  Service Income</t>
  </si>
  <si>
    <t>d. Business Income</t>
  </si>
  <si>
    <t>e. Other Income and Receipts</t>
  </si>
  <si>
    <t>Add (Deduct):
 Prior Period Errors</t>
  </si>
  <si>
    <t>Surplus (Deficit) From Current Operations</t>
  </si>
  <si>
    <t>Proceeds from Collections of Loan Receivables</t>
  </si>
  <si>
    <t>As at December 31, 2022</t>
  </si>
  <si>
    <t>For the Year Ended December 31, 2022</t>
  </si>
  <si>
    <t>(With Corresponding Figures for Calendar Year  2021 Restated)</t>
  </si>
  <si>
    <t>(With Corresponding Figures for Calendar Year 2021 Restated)</t>
  </si>
  <si>
    <t>Difference</t>
  </si>
  <si>
    <t>Note 4 – Cash and Cash Equivalents</t>
  </si>
  <si>
    <t>Accounts</t>
  </si>
  <si>
    <t xml:space="preserve">Cash on Hand </t>
  </si>
  <si>
    <t>Cash Local Treasury</t>
  </si>
  <si>
    <t>Petty Cash</t>
  </si>
  <si>
    <t>Cash in Bank</t>
  </si>
  <si>
    <t xml:space="preserve">Cash in Bank – Local Currency, Current Account  </t>
  </si>
  <si>
    <t>Cash in Bank - Foreign Currency, Savings Account</t>
  </si>
  <si>
    <t>Investments in Time Deposits</t>
  </si>
  <si>
    <t>Cash in Bank - Local Currency, Time Deposits</t>
  </si>
  <si>
    <t>Should be Restatement</t>
  </si>
  <si>
    <t>Percentage</t>
  </si>
  <si>
    <t>With Reason?</t>
  </si>
  <si>
    <t>V.8 Mathematical Accuracy</t>
  </si>
  <si>
    <t>V.2 Restatement (P)</t>
  </si>
  <si>
    <t>V.1.b Increase/Decrease</t>
  </si>
  <si>
    <t>Bank</t>
  </si>
  <si>
    <t xml:space="preserve"> Landbank of the Philippines</t>
  </si>
  <si>
    <t>Banks</t>
  </si>
  <si>
    <t>Development Bank of the Philippines</t>
  </si>
  <si>
    <t>Landbank of the Philippines</t>
  </si>
  <si>
    <t>Philippine National Bank</t>
  </si>
  <si>
    <t>-</t>
  </si>
  <si>
    <t xml:space="preserve">Overseas Filipino Bank  </t>
  </si>
  <si>
    <t>No</t>
  </si>
  <si>
    <t>AFR check</t>
  </si>
  <si>
    <t>Note 5 – Investments</t>
  </si>
  <si>
    <t xml:space="preserve"> Financial Assets Held for Trading</t>
  </si>
  <si>
    <t xml:space="preserve"> Guaranty Deposits</t>
  </si>
  <si>
    <t xml:space="preserve"> Investments in Joint Venture</t>
  </si>
  <si>
    <t>Project</t>
  </si>
  <si>
    <t>Amount</t>
  </si>
  <si>
    <t xml:space="preserve"> Sta. Ana Market </t>
  </si>
  <si>
    <t xml:space="preserve"> San Andres Market </t>
  </si>
  <si>
    <t xml:space="preserve"> Sampaloc Market </t>
  </si>
  <si>
    <t xml:space="preserve"> Trabajo Market </t>
  </si>
  <si>
    <t xml:space="preserve"> Quinta Market </t>
  </si>
  <si>
    <t xml:space="preserve"> Paco Market </t>
  </si>
  <si>
    <t xml:space="preserve"> GABMMC Dialysis Center </t>
  </si>
  <si>
    <t xml:space="preserve"> Arroceros Compound </t>
  </si>
  <si>
    <t xml:space="preserve"> Harrison Plaza-Maranaw  </t>
  </si>
  <si>
    <t>Note 6 – Receivables</t>
  </si>
  <si>
    <t>Loans and Receivables Accounts</t>
  </si>
  <si>
    <t>Accounts Receivable</t>
  </si>
  <si>
    <t>Real Property Tax Receivable</t>
  </si>
  <si>
    <t>Special Education Tax Receivable</t>
  </si>
  <si>
    <t>Loans Receivable - Others</t>
  </si>
  <si>
    <t>Sub-total</t>
  </si>
  <si>
    <t>Lease Receivables</t>
  </si>
  <si>
    <t>Operating Lease Receivable</t>
  </si>
  <si>
    <t>Inter-Agency Receivables</t>
  </si>
  <si>
    <t>Due from National Government Agencies</t>
  </si>
  <si>
    <t>Due from Government-Owned and/or Controlled Corporations</t>
  </si>
  <si>
    <t>Due from Local Government Units</t>
  </si>
  <si>
    <t>Due from Joint Venture</t>
  </si>
  <si>
    <t>Advances</t>
  </si>
  <si>
    <t>Advances for Payroll</t>
  </si>
  <si>
    <t>Advances to Special Disbursing Officer</t>
  </si>
  <si>
    <t>Advances for Officers and Employees</t>
  </si>
  <si>
    <t>Other Receivables</t>
  </si>
  <si>
    <t>Receivables - Disallowances/Charges</t>
  </si>
  <si>
    <t>Due from Officers and Employees</t>
  </si>
  <si>
    <t>AFR Amount 2022</t>
  </si>
  <si>
    <t xml:space="preserve">AFR Amount 2021 (R) </t>
  </si>
  <si>
    <t>Due from Other Funds</t>
  </si>
  <si>
    <t>Year</t>
  </si>
  <si>
    <t>2018 and prior years</t>
  </si>
  <si>
    <t>Real Property Units</t>
  </si>
  <si>
    <t>No. of Lessees</t>
  </si>
  <si>
    <t>Real estate including office spaces leased to Corporations</t>
  </si>
  <si>
    <t xml:space="preserve">Underpass stalls </t>
  </si>
  <si>
    <t>Residential Lots</t>
  </si>
  <si>
    <t>Location</t>
  </si>
  <si>
    <t>Recto Underpass</t>
  </si>
  <si>
    <t>Isetann Recto Underpass</t>
  </si>
  <si>
    <t>Residential Location</t>
  </si>
  <si>
    <t>No. of Tenants</t>
  </si>
  <si>
    <t>Blumentritt</t>
  </si>
  <si>
    <t xml:space="preserve">Herbosa Trinidad </t>
  </si>
  <si>
    <t xml:space="preserve">Tondo </t>
  </si>
  <si>
    <t xml:space="preserve">Quezon Boulevard </t>
  </si>
  <si>
    <t xml:space="preserve">Quiapo Bilibid Viejo </t>
  </si>
  <si>
    <t xml:space="preserve">Tahanang Maharlika I </t>
  </si>
  <si>
    <t xml:space="preserve">Tahanang Maharlika II </t>
  </si>
  <si>
    <t xml:space="preserve">Tahanang Maharlika III </t>
  </si>
  <si>
    <t xml:space="preserve">Sta. Cruz </t>
  </si>
  <si>
    <t xml:space="preserve">San Nicolas </t>
  </si>
  <si>
    <t xml:space="preserve">Ongsiako </t>
  </si>
  <si>
    <t xml:space="preserve">San Rafael </t>
  </si>
  <si>
    <t xml:space="preserve">Pandacan </t>
  </si>
  <si>
    <t xml:space="preserve">Sampaloc </t>
  </si>
  <si>
    <t xml:space="preserve">Paco </t>
  </si>
  <si>
    <t xml:space="preserve">Binondo </t>
  </si>
  <si>
    <t xml:space="preserve">Taft Avenue </t>
  </si>
  <si>
    <t>Yes</t>
  </si>
  <si>
    <t>None</t>
  </si>
  <si>
    <t>Note 7 – Inventories</t>
  </si>
  <si>
    <t>Merchandise Inventory</t>
  </si>
  <si>
    <t>Office Supplies Inventory</t>
  </si>
  <si>
    <t>Accountable Forms, Plates and</t>
  </si>
  <si>
    <t>Stickers</t>
  </si>
  <si>
    <t>Non-Accountable Forms</t>
  </si>
  <si>
    <t>Inventory</t>
  </si>
  <si>
    <t>Animal/Zoological Supplies</t>
  </si>
  <si>
    <t>Food Supplies Inventory</t>
  </si>
  <si>
    <t>Drugs and Medicines Inventory</t>
  </si>
  <si>
    <t>Medical, Dental and Laboratory</t>
  </si>
  <si>
    <t>Supplies Inventory</t>
  </si>
  <si>
    <t>Fuel, Oil and Lubricants</t>
  </si>
  <si>
    <t>Construction Materials Inventory</t>
  </si>
  <si>
    <t>Other Supplies and Materials</t>
  </si>
  <si>
    <t>Textbooks and Instructional</t>
  </si>
  <si>
    <t>Materials Inventory</t>
  </si>
  <si>
    <t>Office Supplies Expenses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</si>
  <si>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</si>
  <si>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</si>
  <si>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</si>
  <si>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</si>
  <si>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</si>
  <si>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</si>
  <si>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</si>
  <si>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</si>
  <si>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Textbooks and Instructional Materials Expenses</t>
  </si>
  <si>
    <t>Other Supplies and Materials Expenses</t>
  </si>
  <si>
    <t>Inventory Accounts</t>
  </si>
  <si>
    <t>Welfare Goods Inventory</t>
  </si>
  <si>
    <t>Note 8 – Prepayments and Deferred Charges</t>
  </si>
  <si>
    <t>Prepayments</t>
  </si>
  <si>
    <t>Advances to Contractors</t>
  </si>
  <si>
    <t>Prepaid Insurance</t>
  </si>
  <si>
    <t>Prepaid Interest</t>
  </si>
  <si>
    <t>Other Prepayments</t>
  </si>
  <si>
    <t>Note 9 – Investment Property</t>
  </si>
  <si>
    <t>Account</t>
  </si>
  <si>
    <t>Investment Property, Land</t>
  </si>
  <si>
    <t>Note 10 – Property, Plant and Equipment (PPE)</t>
  </si>
  <si>
    <t>Land</t>
  </si>
  <si>
    <t>Land Improvements</t>
  </si>
  <si>
    <t>Other Land Improvements</t>
  </si>
  <si>
    <t>Infrastructure Assets</t>
  </si>
  <si>
    <t>Road Networks</t>
  </si>
  <si>
    <t>Power Supply Systems</t>
  </si>
  <si>
    <t>Parks, Plazas and Monuments</t>
  </si>
  <si>
    <t>Other Infrastructure Assets</t>
  </si>
  <si>
    <t>Buildings and Other Structures</t>
  </si>
  <si>
    <t>Buildings</t>
  </si>
  <si>
    <t>School Buildings</t>
  </si>
  <si>
    <t>Hospitals and Health Centers</t>
  </si>
  <si>
    <t>Markets</t>
  </si>
  <si>
    <t>Slaughterhouses</t>
  </si>
  <si>
    <t>Other Structures</t>
  </si>
  <si>
    <t>Machinery and Equipment</t>
  </si>
  <si>
    <t>Machinery</t>
  </si>
  <si>
    <t>Office Equipment</t>
  </si>
  <si>
    <t>Information and Communication</t>
  </si>
  <si>
    <t>Technology Equipment</t>
  </si>
  <si>
    <t>Communication Equipment</t>
  </si>
  <si>
    <t>Construction and Heavy</t>
  </si>
  <si>
    <t>Equipment</t>
  </si>
  <si>
    <t>Disaster Response and Rescue</t>
  </si>
  <si>
    <t>Military, Police and Security</t>
  </si>
  <si>
    <t>Medical Equipment</t>
  </si>
  <si>
    <t>Technical and Scientific</t>
  </si>
  <si>
    <t>Other Machinery and Equipment</t>
  </si>
  <si>
    <t>Transportation Equipment</t>
  </si>
  <si>
    <t>Motor Vehicles</t>
  </si>
  <si>
    <t>Watercrafts</t>
  </si>
  <si>
    <t xml:space="preserve">Furniture, Fixtures and Books  </t>
  </si>
  <si>
    <t xml:space="preserve">Furniture and Fixtures </t>
  </si>
  <si>
    <t xml:space="preserve">Books </t>
  </si>
  <si>
    <t>Construction in Progress (CIP)</t>
  </si>
  <si>
    <t xml:space="preserve">CIP - Infrastructure Assets </t>
  </si>
  <si>
    <t>CIP - Buildings and Other Structures</t>
  </si>
  <si>
    <t>Other PPE</t>
  </si>
  <si>
    <t>Work/Zoo Animals</t>
  </si>
  <si>
    <t>Carrying Value Dec. 31, 2022</t>
  </si>
  <si>
    <t>CY 2022</t>
  </si>
  <si>
    <t>Acquisition Cost</t>
  </si>
  <si>
    <t>From Other Asset</t>
  </si>
  <si>
    <t>Disposal</t>
  </si>
  <si>
    <t>Transfer/ Adjustments</t>
  </si>
  <si>
    <t>Information and Communication Technology Equipment</t>
  </si>
  <si>
    <t>Furniture, Fixtures and Books</t>
  </si>
  <si>
    <t>Furniture and Fixtures</t>
  </si>
  <si>
    <t>Books</t>
  </si>
  <si>
    <t>Other Property, Plant and Equipment</t>
  </si>
  <si>
    <t>Construction and Heavy Equipment</t>
  </si>
  <si>
    <t>Military, Police and Security Equipment</t>
  </si>
  <si>
    <t>Technical and Scientific Equipment</t>
  </si>
  <si>
    <t>CIP – Infrastructure Assets</t>
  </si>
  <si>
    <t>*The PPE balances presented in the Statement of Financial Position as at year0end were based on Carrying Value.</t>
  </si>
  <si>
    <t>Disaster Response and Rescue Equipment</t>
  </si>
  <si>
    <t>CIP – Buildings and Other Structures</t>
  </si>
  <si>
    <t>Depreciation Expense</t>
  </si>
  <si>
    <t>Carrying Value Dec. 31, 2021</t>
  </si>
  <si>
    <t>Check</t>
  </si>
  <si>
    <t>Notes</t>
  </si>
  <si>
    <t>Note 11 – Intangible Asset</t>
  </si>
  <si>
    <t>Computer Software</t>
  </si>
  <si>
    <t xml:space="preserve">Total </t>
  </si>
  <si>
    <t>Note 12 – Financial Liabilities (Current)</t>
  </si>
  <si>
    <t>Payables</t>
  </si>
  <si>
    <t>Accounts Payable</t>
  </si>
  <si>
    <t>Due to Officers and Employees</t>
  </si>
  <si>
    <t xml:space="preserve">Interest Payable </t>
  </si>
  <si>
    <t>Operating Lease Payable</t>
  </si>
  <si>
    <t>Loans Payable</t>
  </si>
  <si>
    <t>Loans Payable - Domestic, Current</t>
  </si>
  <si>
    <t>Financial Liabilities (Non-Current)</t>
  </si>
  <si>
    <t>Loans Payable – Domestic, Non Current</t>
  </si>
  <si>
    <t xml:space="preserve"> GF </t>
  </si>
  <si>
    <t xml:space="preserve"> SEF </t>
  </si>
  <si>
    <t xml:space="preserve"> TOTAL </t>
  </si>
  <si>
    <t>Redevelopment of Manila Zoo</t>
  </si>
  <si>
    <t>Binondominium 1</t>
  </si>
  <si>
    <t>Tondominium 1</t>
  </si>
  <si>
    <t>Tondominium 2</t>
  </si>
  <si>
    <t>Ospital ng Maynila and Parking Building</t>
  </si>
  <si>
    <t>Dr. Albert Elementary School</t>
  </si>
  <si>
    <t>Rosauro Almario Elementary School</t>
  </si>
  <si>
    <t>Manila Science High School</t>
  </si>
  <si>
    <t>Pedro Gil Residences</t>
  </si>
  <si>
    <t>San Lazaro Residences</t>
  </si>
  <si>
    <t>San Sebastian Residences</t>
  </si>
  <si>
    <t>Various Hospital Equipment, furniture and fixtures for ONMMC</t>
  </si>
  <si>
    <t>Acquisition/Expropriation of Land under the Land for Landless Program of the City</t>
  </si>
  <si>
    <t>Note 13 – 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</si>
  <si>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</si>
  <si>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</si>
  <si>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</si>
  <si>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</si>
  <si>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</si>
  <si>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</si>
  <si>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 xml:space="preserve">Due to LGUs        </t>
  </si>
  <si>
    <t>Note 14 – Trust Liabilities</t>
  </si>
  <si>
    <t xml:space="preserve">Trust Liabilities - Disaster Risk </t>
  </si>
  <si>
    <t xml:space="preserve">     Reduction and Management Fund</t>
  </si>
  <si>
    <t>Bail Bonds Payable</t>
  </si>
  <si>
    <t>Guaranty/Security Deposits Payable</t>
  </si>
  <si>
    <t xml:space="preserve">Due to Other Funds
</t>
  </si>
  <si>
    <t>Available</t>
  </si>
  <si>
    <t>Utilized</t>
  </si>
  <si>
    <t>Balance</t>
  </si>
  <si>
    <t>Current Year Appropriation:</t>
  </si>
  <si>
    <t>Quick Response Fund (QRF)</t>
  </si>
  <si>
    <t>Mitigation Fund (MF)</t>
  </si>
  <si>
    <t xml:space="preserve">   MOOE</t>
  </si>
  <si>
    <t xml:space="preserve">   Capital Outlay</t>
  </si>
  <si>
    <t>Continuing Appropriation</t>
  </si>
  <si>
    <t>Special Trust Fund</t>
  </si>
  <si>
    <t xml:space="preserve">     CY 2021</t>
  </si>
  <si>
    <t xml:space="preserve">     CY 2020</t>
  </si>
  <si>
    <t>Note 15 – Deferred Credits/Unearned Income</t>
  </si>
  <si>
    <t>Deferred Real Property Tax</t>
  </si>
  <si>
    <t>Deferred Special Education Tax</t>
  </si>
  <si>
    <t>Other Deferred Credits</t>
  </si>
  <si>
    <t>Note 16 – Other Payables</t>
  </si>
  <si>
    <t>Note 17 – Tax Revenue</t>
  </si>
  <si>
    <t>Tax Revenue - Individual and Corporation</t>
  </si>
  <si>
    <t>Professional Tax</t>
  </si>
  <si>
    <t xml:space="preserve">Community Tax </t>
  </si>
  <si>
    <t>Real Property Tax - Basic</t>
  </si>
  <si>
    <t>Discount on Real Property Tax - Basic</t>
  </si>
  <si>
    <t>Special Education Tax</t>
  </si>
  <si>
    <t>Discount on Special Education Tax</t>
  </si>
  <si>
    <t>Real Property Transfer Tax</t>
  </si>
  <si>
    <t xml:space="preserve">Business Tax  </t>
  </si>
  <si>
    <t xml:space="preserve">Amusement Tax </t>
  </si>
  <si>
    <t xml:space="preserve">Franchise Tax  </t>
  </si>
  <si>
    <t xml:space="preserve">Printing and Publication Tax </t>
  </si>
  <si>
    <t>Tax Revenue - Others</t>
  </si>
  <si>
    <t>Other Taxes</t>
  </si>
  <si>
    <t>Tax Revenue - Fines and Penalties</t>
  </si>
  <si>
    <t>Tax Revenue - Fines and Penalties - Other Taxes</t>
  </si>
  <si>
    <t>Note 18 – Share from National Taxes</t>
  </si>
  <si>
    <t>Share from Internal Revenue Collections (IRA)</t>
  </si>
  <si>
    <t>Note 19 – 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</si>
  <si>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</si>
  <si>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</si>
  <si>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</si>
  <si>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</si>
  <si>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</si>
  <si>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Inspection Fees</t>
  </si>
  <si>
    <t>Processing Fees</t>
  </si>
  <si>
    <t>Occupation Fees</t>
  </si>
  <si>
    <t>Fees for Sealing and Licensing of Weights and Measures</t>
  </si>
  <si>
    <t xml:space="preserve">Fines and Penalties - Service Income </t>
  </si>
  <si>
    <t>Other Service Income</t>
  </si>
  <si>
    <t>Business Income</t>
  </si>
  <si>
    <t>School Fees</t>
  </si>
  <si>
    <t>Affiliation Fees</t>
  </si>
  <si>
    <t xml:space="preserve">Rent Income </t>
  </si>
  <si>
    <t xml:space="preserve">Road Network Fees </t>
  </si>
  <si>
    <t xml:space="preserve">Parking Fees </t>
  </si>
  <si>
    <t>Receipts from Market Operations</t>
  </si>
  <si>
    <t xml:space="preserve">Receipts from Slaughterhouse Operation </t>
  </si>
  <si>
    <t>Receipts from Cemetery Operations</t>
  </si>
  <si>
    <t xml:space="preserve">Receipts from Printing and Publication </t>
  </si>
  <si>
    <t>Garbage Fees</t>
  </si>
  <si>
    <t>Hospital Fees</t>
  </si>
  <si>
    <t xml:space="preserve">Interest Income </t>
  </si>
  <si>
    <t>Other Business Income</t>
  </si>
  <si>
    <t>–</t>
  </si>
  <si>
    <t>District Hospitals</t>
  </si>
  <si>
    <t>Beginning Balances, January 1, 2022</t>
  </si>
  <si>
    <t>Additions</t>
  </si>
  <si>
    <t>Utilization</t>
  </si>
  <si>
    <t>Ending Balances, December 31, 2022</t>
  </si>
  <si>
    <t>Ospital ng Maynila</t>
  </si>
  <si>
    <t>Ospital ng Sampaloc</t>
  </si>
  <si>
    <t>Ospital ng Tondo</t>
  </si>
  <si>
    <t>Gat Andres Bonifacio Memorial Medical Center</t>
  </si>
  <si>
    <t>Justice Jose Abad Santos Medical Center</t>
  </si>
  <si>
    <t>Sta. Ana Hospital</t>
  </si>
  <si>
    <t>Note 20 – Assistance and Subsidy</t>
  </si>
  <si>
    <t>Subsidy from National Government</t>
  </si>
  <si>
    <t>Note 21 – Grants and Donations</t>
  </si>
  <si>
    <t>Grants and Donations in Kind</t>
  </si>
  <si>
    <t>Note 22 – Gains</t>
  </si>
  <si>
    <t xml:space="preserve">Gain on Sale of PPE </t>
  </si>
  <si>
    <t>Note 23 – Miscellaneous Income</t>
  </si>
  <si>
    <t>Note 24 – Personnel Services</t>
  </si>
  <si>
    <t>Salaries and Wages</t>
  </si>
  <si>
    <t>Salaries and Wages - Regular</t>
  </si>
  <si>
    <t>Salaries and Wages - Casual/Contractual</t>
  </si>
  <si>
    <t xml:space="preserve"> </t>
  </si>
  <si>
    <t>Other Compensation</t>
  </si>
  <si>
    <t xml:space="preserve">Personal Economic Relief Allowance </t>
  </si>
  <si>
    <t xml:space="preserve">Representation Allowance </t>
  </si>
  <si>
    <t xml:space="preserve">Transportation Allowance </t>
  </si>
  <si>
    <t>Clothing/Uniform Allowance</t>
  </si>
  <si>
    <t>Subsistence Allowance</t>
  </si>
  <si>
    <t>Laundry Allowance</t>
  </si>
  <si>
    <t>Productivity Incentive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</si>
  <si>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</si>
  <si>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</si>
  <si>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</si>
  <si>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</si>
  <si>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</si>
  <si>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</si>
  <si>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</si>
  <si>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</si>
  <si>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</si>
  <si>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</si>
  <si>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</si>
  <si>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</si>
  <si>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</si>
  <si>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</si>
  <si>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Note 25 – Maintenance and Other Operating Expenses</t>
  </si>
  <si>
    <t>Traveling Expenses</t>
  </si>
  <si>
    <t>Traveling Expenses – Local</t>
  </si>
  <si>
    <t>Training and Scholarship Expenses</t>
  </si>
  <si>
    <t xml:space="preserve">Training Expenses </t>
  </si>
  <si>
    <t>Supplies and Materials Expenses</t>
  </si>
  <si>
    <t xml:space="preserve">Office Supplies Expenses </t>
  </si>
  <si>
    <t>Utility Expenses</t>
  </si>
  <si>
    <t>Water Expenses</t>
  </si>
  <si>
    <t>Electricity Expenses</t>
  </si>
  <si>
    <t>Communication Expenses</t>
  </si>
  <si>
    <t>Postage and Courier Services</t>
  </si>
  <si>
    <t>Telephone Expenses</t>
  </si>
  <si>
    <t>Internet Subscription Expenses</t>
  </si>
  <si>
    <t>Cable, Satellite, Telegraph and Radio Expenses</t>
  </si>
  <si>
    <t>Awards/Rewards and Prizes</t>
  </si>
  <si>
    <t>Awards/Rewards Expenses</t>
  </si>
  <si>
    <t>Prizes</t>
  </si>
  <si>
    <t>Survey, Research, Exploration and Development Expenses</t>
  </si>
  <si>
    <t>Research, Exploration and Development Expenses</t>
  </si>
  <si>
    <t>Confidential, Intelligence and Extraordinary Expenses</t>
  </si>
  <si>
    <t>Confidential Expenses</t>
  </si>
  <si>
    <t>Extraordinary and Miscellaneous Expenses</t>
  </si>
  <si>
    <t>Professional Services</t>
  </si>
  <si>
    <t>Auditing Services</t>
  </si>
  <si>
    <t>Consultancy Services</t>
  </si>
  <si>
    <t>Other Professional Services</t>
  </si>
  <si>
    <t>General Services</t>
  </si>
  <si>
    <t>Environment/Sanitary Services</t>
  </si>
  <si>
    <t>Janitorial Services</t>
  </si>
  <si>
    <t>Security Services</t>
  </si>
  <si>
    <t>Other General Services</t>
  </si>
  <si>
    <t>Repairs and Maintenance</t>
  </si>
  <si>
    <t>Repairs and Maintenance - Infrastructure   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</si>
  <si>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</si>
  <si>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</si>
  <si>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</si>
  <si>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 xml:space="preserve">Repairs and Maintenance - Furniture and Fixtures </t>
  </si>
  <si>
    <t>Repairs and Maintenance - Other Property, Plant and Equipment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</si>
  <si>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</si>
  <si>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</si>
  <si>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</si>
  <si>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</si>
  <si>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</si>
  <si>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Advertising Expenses</t>
  </si>
  <si>
    <t>Printing and Publication Expenses</t>
  </si>
  <si>
    <t>Representation Expenses</t>
  </si>
  <si>
    <t>Rent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</si>
  <si>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</si>
  <si>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</si>
  <si>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</si>
  <si>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</si>
  <si>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Traveling Expenses – Foreign</t>
  </si>
  <si>
    <t>Note 26 – Financial Expenses</t>
  </si>
  <si>
    <t>Interest Expense – GSIS</t>
  </si>
  <si>
    <t>Interest Expense – Loans Payable</t>
  </si>
  <si>
    <t>Note 27 – Non-Cash Expenses</t>
  </si>
  <si>
    <t>Depreciation</t>
  </si>
  <si>
    <t>Depreciation - Land Improvements</t>
  </si>
  <si>
    <t>Depreciation - Buildings and Other Structures</t>
  </si>
  <si>
    <t xml:space="preserve">Depreciation - Machinery and Equipment </t>
  </si>
  <si>
    <t>Depreciation - Transportation Equipment</t>
  </si>
  <si>
    <t xml:space="preserve">Depreciation - Furniture, Fixtures and Books  </t>
  </si>
  <si>
    <t>Depreciation - Other Property, Plant and Equipment</t>
  </si>
  <si>
    <t>Impairment Loss - Property, Plant and Equipment</t>
  </si>
  <si>
    <t xml:space="preserve">Note 28 – Transfers, Assistance and Subsidy    </t>
  </si>
  <si>
    <t>Financial Assistance/Subsidy</t>
  </si>
  <si>
    <t>Subsidies – Others</t>
  </si>
  <si>
    <t>Transfers</t>
  </si>
  <si>
    <t>Transfers of Unspent Current Year DRRM Funds to the Trust Funds</t>
  </si>
  <si>
    <t>check</t>
  </si>
  <si>
    <t>X</t>
  </si>
  <si>
    <t>Note 14</t>
  </si>
  <si>
    <t>Note 29 – Cash Flow Information and Non-cash Transaction</t>
  </si>
  <si>
    <t>Surplus/(Deficit)</t>
  </si>
  <si>
    <t>Transfer, Subsidies and Assistance</t>
  </si>
  <si>
    <t>Non-Cash transactions:</t>
  </si>
  <si>
    <t>Grants and Donation in Kind</t>
  </si>
  <si>
    <t>Gains on sale of PPE</t>
  </si>
  <si>
    <t>Decrease in Current Liabilities</t>
  </si>
  <si>
    <t>Increase in Investments</t>
  </si>
  <si>
    <t>Increase in Current Receivables</t>
  </si>
  <si>
    <t>Increase in Inventory</t>
  </si>
  <si>
    <t>Increase in Prepayments - Deferred Charges</t>
  </si>
  <si>
    <t>Other Adjustments</t>
  </si>
  <si>
    <t>Net Cash from Operating Activities</t>
  </si>
  <si>
    <t>Increase/</t>
  </si>
  <si>
    <t>(Decrease)</t>
  </si>
  <si>
    <t>Welfare Goods for Distribution</t>
  </si>
  <si>
    <t>Accountable Forms, Plates and Stickers</t>
  </si>
  <si>
    <t>Non-Accountable Forms Inventory</t>
  </si>
  <si>
    <t>Medical, Dental and Laboratory Supplies Inventory</t>
  </si>
  <si>
    <t>Fuel, Oil and Lubricants Inventory</t>
  </si>
  <si>
    <t>Other Supplies and Materials Inventory</t>
  </si>
  <si>
    <t>Income</t>
  </si>
  <si>
    <t>MOOE</t>
  </si>
  <si>
    <t>Statement of Comparison of Budget and Actual</t>
  </si>
  <si>
    <t>Basis Differences:</t>
  </si>
  <si>
    <t>Income not considered budgetary items</t>
  </si>
  <si>
    <t>Non-cash items</t>
  </si>
  <si>
    <t>Actual Difference</t>
  </si>
  <si>
    <t>Receipts not considered as income:</t>
  </si>
  <si>
    <t>Sale of Capital Asset</t>
  </si>
  <si>
    <t>Non-cash expenses:</t>
  </si>
  <si>
    <t xml:space="preserve">    Depreciation</t>
  </si>
  <si>
    <t>Capital Expenditures</t>
  </si>
  <si>
    <t>Timing Difference</t>
  </si>
  <si>
    <t>Unconsumed Inventories charged to current appropriations</t>
  </si>
  <si>
    <t>Per Statement of Financial Performance</t>
  </si>
  <si>
    <t>Tie-up</t>
  </si>
  <si>
    <t>sum</t>
  </si>
  <si>
    <t>Previously Reported</t>
  </si>
  <si>
    <t>Adjustments</t>
  </si>
  <si>
    <t>Restated</t>
  </si>
  <si>
    <t>Cash in Bank - Local Currency,  Current Account</t>
  </si>
  <si>
    <t>Cash in Bank - Foreign Currency,  Savings Account</t>
  </si>
  <si>
    <t>Cash in Bank -Local Currency,  Time Deposits</t>
  </si>
  <si>
    <t>Total Cash</t>
  </si>
  <si>
    <t>Financial Assets Held for  Trading</t>
  </si>
  <si>
    <t>Guaranty Deposits</t>
  </si>
  <si>
    <t>Investment in Joint Ventures</t>
  </si>
  <si>
    <t>Total Investment</t>
  </si>
  <si>
    <t>Special Education Tax  Receivable</t>
  </si>
  <si>
    <t>Due from National Government  Agencies</t>
  </si>
  <si>
    <t>Due from Government-Owned  and/or Controlled Corporations</t>
  </si>
  <si>
    <t>Advances to Special Disbursing  Officer</t>
  </si>
  <si>
    <t>Advances for Officers and  Employees</t>
  </si>
  <si>
    <t>Due from Officers and  Employees</t>
  </si>
  <si>
    <t>Total Receivables</t>
  </si>
  <si>
    <t xml:space="preserve">Accountable Forms, Plates and  Stickers </t>
  </si>
  <si>
    <t>Medical, Dental and Laboratory  Supplies Inventory</t>
  </si>
  <si>
    <t>Fuel, Oil and Lubricants  Inventory</t>
  </si>
  <si>
    <t>Textbooks and Instructional  Materials Inventory</t>
  </si>
  <si>
    <t>Other Supplies and Materials  Inventory</t>
  </si>
  <si>
    <t>Total Inventories</t>
  </si>
  <si>
    <t>Discount on Advance Payments</t>
  </si>
  <si>
    <t>Total Prepayments and  Deferred Charges</t>
  </si>
  <si>
    <t>Total Investment Property</t>
  </si>
  <si>
    <t xml:space="preserve">School Buildings </t>
  </si>
  <si>
    <t xml:space="preserve">Information and  Communication   Technology Equipment </t>
  </si>
  <si>
    <t>Construction and Heavy  Equipment</t>
  </si>
  <si>
    <t>Disaster Response and Rescue  Equipment</t>
  </si>
  <si>
    <t xml:space="preserve">Military, Police and Security  Equipment </t>
  </si>
  <si>
    <t xml:space="preserve">Technical and Scientific  Equipment </t>
  </si>
  <si>
    <t xml:space="preserve">Other Machinery and  Equipment </t>
  </si>
  <si>
    <t xml:space="preserve">Construction in Progress -  Infrastructure Assets </t>
  </si>
  <si>
    <t>Construction in Progress -  Buildings  and Other   Structures</t>
  </si>
  <si>
    <t>Other Property, Plant and  Equipment</t>
  </si>
  <si>
    <t>Total Property, Plant and  Equipment</t>
  </si>
  <si>
    <t>Total Intangible Assets</t>
  </si>
  <si>
    <t>Loans Payable - Domestic</t>
  </si>
  <si>
    <t>Total Financial Liabilities</t>
  </si>
  <si>
    <t>Due to LGUs</t>
  </si>
  <si>
    <t>Total Inter-Agency Payables</t>
  </si>
  <si>
    <t>Trust Liabilities - Disaster Risk  Reduction and Management  Fund</t>
  </si>
  <si>
    <t xml:space="preserve">Guaranty/Security Deposits  Payable </t>
  </si>
  <si>
    <t>Total Trust Liabilities</t>
  </si>
  <si>
    <t xml:space="preserve">Other Deferred Credits </t>
  </si>
  <si>
    <t>Total Deferred Credits</t>
  </si>
  <si>
    <t>Loans Payable – Domestic (Non-current)</t>
  </si>
  <si>
    <t>Total Provisions</t>
  </si>
  <si>
    <t>Total Other Payables</t>
  </si>
  <si>
    <t xml:space="preserve">Government Equity  </t>
  </si>
  <si>
    <t>Prior Period Adjustment</t>
  </si>
  <si>
    <t xml:space="preserve">Income and Expense Summary </t>
  </si>
  <si>
    <t>Total Net Assets/Equity</t>
  </si>
  <si>
    <t>Total Liabilities and Net  Assets/Equity</t>
  </si>
  <si>
    <t>Adjustments N31</t>
  </si>
  <si>
    <t>Sum</t>
  </si>
  <si>
    <t>SCNAE</t>
  </si>
  <si>
    <t>INCOME</t>
  </si>
  <si>
    <t xml:space="preserve">Professional Tax </t>
  </si>
  <si>
    <t>Real Property Tax</t>
  </si>
  <si>
    <t>Discount on Real Property Tax-  Basic</t>
  </si>
  <si>
    <t>Discount on Special Education  Tax</t>
  </si>
  <si>
    <t>Tax Revenue - Fines and  Penalties - Other Taxes</t>
  </si>
  <si>
    <t>Share from Internal Revenue  Collections</t>
  </si>
  <si>
    <t>Total Revenue</t>
  </si>
  <si>
    <t>Registration Plates, Tags and  Stickers Fees</t>
  </si>
  <si>
    <t>Fees for Sealing and Licensing of  Weights and Measures</t>
  </si>
  <si>
    <t xml:space="preserve">Fines and Penalties - Service  Income </t>
  </si>
  <si>
    <t xml:space="preserve">Receipts from Slaughterhouse  Operation </t>
  </si>
  <si>
    <t xml:space="preserve">Receipts from Printing and  Publication </t>
  </si>
  <si>
    <t>Total Service and Business  Income</t>
  </si>
  <si>
    <t xml:space="preserve">Grants and Donations in Kind </t>
  </si>
  <si>
    <t>Total Grants and Donation</t>
  </si>
  <si>
    <t>Gain on Sale of Property, Plant  and  Equipment</t>
  </si>
  <si>
    <t>Total Gains</t>
  </si>
  <si>
    <t>Total Miscellaneous Income</t>
  </si>
  <si>
    <t>Total Income</t>
  </si>
  <si>
    <t>EXPENSES</t>
  </si>
  <si>
    <t>Salaries and Wages -  Casual/Contractual</t>
  </si>
  <si>
    <t>Personal Economic Relief  Allowance (PERA)</t>
  </si>
  <si>
    <t>Productivity Incentive  Allowance</t>
  </si>
  <si>
    <t>Retirement and Life Insurance  Premiums</t>
  </si>
  <si>
    <t>Employees Compensation  Insurance Premiums</t>
  </si>
  <si>
    <t>Total Personnel Services</t>
  </si>
  <si>
    <t>Traveling Expenses - Local</t>
  </si>
  <si>
    <t>Training Expenses</t>
  </si>
  <si>
    <t>Animal/Zoological Supplies  Expenses</t>
  </si>
  <si>
    <t>Medical, Dental and Laboratory  Supplies Expenses</t>
  </si>
  <si>
    <t>Fuel, Oil and Lubricants  Expenses</t>
  </si>
  <si>
    <t>Textbooks and Instructional  Materials Expenses</t>
  </si>
  <si>
    <t>Other Supplies and Materials  Expenses</t>
  </si>
  <si>
    <t xml:space="preserve">Postage and Courier Services </t>
  </si>
  <si>
    <t>Repairs and Maintenance -  Infrastructure Assets</t>
  </si>
  <si>
    <t>Repairs and Maintenance -  Buildings and Other   Structures</t>
  </si>
  <si>
    <t xml:space="preserve">Repairs and Maintenance -  Machinery and Equipment </t>
  </si>
  <si>
    <t>Repairs and Maintenance -  Transportation Equipment</t>
  </si>
  <si>
    <t>Printing and Publication  Expenses</t>
  </si>
  <si>
    <t>Membership Dues and  Contributions to   Organizations</t>
  </si>
  <si>
    <t xml:space="preserve">Other Maintenance and  Operating  Expenses  </t>
  </si>
  <si>
    <t>Total Maintenance and  Operating  Expenses</t>
  </si>
  <si>
    <t xml:space="preserve">Interest Expenses </t>
  </si>
  <si>
    <t>Bank Charges</t>
  </si>
  <si>
    <t xml:space="preserve">Other Financial Charges </t>
  </si>
  <si>
    <t>Total Financial Expenses</t>
  </si>
  <si>
    <t>Depreciation - Land  Improvements</t>
  </si>
  <si>
    <t>Depreciation - Buildings and  Other  Structures</t>
  </si>
  <si>
    <t xml:space="preserve">Depreciation - Machinery and  Equipment </t>
  </si>
  <si>
    <t>Depreciation - Transportation  Equipment</t>
  </si>
  <si>
    <t xml:space="preserve">Depreciation - Furniture,  Fixtures  and Books  </t>
  </si>
  <si>
    <t>Depreciation - Other Property,  Plant  and Equipment</t>
  </si>
  <si>
    <t>Total Non-Cash Expenses</t>
  </si>
  <si>
    <t>Subsidies - Others</t>
  </si>
  <si>
    <t>Transfers of Unspent Current  Year  DRRM Funds to  the Trust Funds</t>
  </si>
  <si>
    <t xml:space="preserve">Total Transfers, Assistance  and  Subsidy    </t>
  </si>
  <si>
    <t>Total Expenses</t>
  </si>
  <si>
    <t>Surplus (Deficit) for the Period</t>
  </si>
  <si>
    <t>Add (Deduct) Changes in net assets/equity</t>
  </si>
  <si>
    <t>29</t>
  </si>
  <si>
    <t>Transfers, Assistance and Subsidy From</t>
  </si>
  <si>
    <t>Table 1. Inventory accounts as of December 31, 2022</t>
  </si>
  <si>
    <t xml:space="preserve">Account Title </t>
  </si>
  <si>
    <t>General Fund (GF)</t>
  </si>
  <si>
    <t>Special Education Fund (SEF)</t>
  </si>
  <si>
    <t xml:space="preserve">Merchandise Inventory </t>
  </si>
  <si>
    <t xml:space="preserve">Office Supplies Inventory </t>
  </si>
  <si>
    <t>Accountable Forms Inventory</t>
  </si>
  <si>
    <t>Animal/Zoological Supplies Inventory</t>
  </si>
  <si>
    <t xml:space="preserve">Medical, Dental and Laboratory Supplies Inventory </t>
  </si>
  <si>
    <t xml:space="preserve">Fuel, Oil and Lubricant Inventory </t>
  </si>
  <si>
    <t xml:space="preserve">Textbooks and Instructional Materials Inventory </t>
  </si>
  <si>
    <t xml:space="preserve">Construction Materials Inventory </t>
  </si>
  <si>
    <t xml:space="preserve">Other Supplies and Materials for Distribution </t>
  </si>
  <si>
    <t xml:space="preserve">Other Supplies and Materials Inventory </t>
  </si>
  <si>
    <t>Total Inventory</t>
  </si>
  <si>
    <t>SFPo</t>
  </si>
  <si>
    <t>Per cent of Total Current Assets</t>
  </si>
  <si>
    <t>Overstatement representing inexistent inventories still carried in the inventory accounts</t>
  </si>
  <si>
    <t xml:space="preserve">Understatement representing unrecorded inventories:      </t>
  </si>
  <si>
    <t>Covid Supplies Inventory</t>
  </si>
  <si>
    <t>Net Overstatement</t>
  </si>
  <si>
    <t>Account Title</t>
  </si>
  <si>
    <t>Inventory per books of accounts</t>
  </si>
  <si>
    <t>Inventory per physical count by end users</t>
  </si>
  <si>
    <t>Inexistent/ (Unrecorded)</t>
  </si>
  <si>
    <t>Animal and Zoological Supplies Inventory</t>
  </si>
  <si>
    <t>Textbooks and Instructional Materials Inventory</t>
  </si>
  <si>
    <t>Construction Materials Inventory/RM Other PPE</t>
  </si>
  <si>
    <t xml:space="preserve">Total Inexistent Inventory </t>
  </si>
  <si>
    <t xml:space="preserve">Total Unrecorded Inventory </t>
  </si>
  <si>
    <t>Total Inventory Net Overstatement</t>
  </si>
  <si>
    <t>RPT Receivable</t>
  </si>
  <si>
    <t>SET Receivable</t>
  </si>
  <si>
    <t>Restated amount per notes</t>
  </si>
  <si>
    <t>Beginning balance, Jan. 1, 2022</t>
  </si>
  <si>
    <t>CYs 2019-2021 adjustments</t>
  </si>
  <si>
    <t xml:space="preserve">CY 2022 Set-up </t>
  </si>
  <si>
    <t xml:space="preserve">CY 2022 recorded collections </t>
  </si>
  <si>
    <t>Online collections recorded as RPT/SET Receivable</t>
  </si>
  <si>
    <t xml:space="preserve">Realization of CY 2022 advance payments </t>
  </si>
  <si>
    <t>RPT/SET Receivable as of Dec. 31, 2022</t>
  </si>
  <si>
    <t>GF Other Deferred Credits-RPT Advance</t>
  </si>
  <si>
    <t>SEF Other Deferred Credits-RPT Advance</t>
  </si>
  <si>
    <t>Beginning balance as of Jan. 1, 2022</t>
  </si>
  <si>
    <t>Advance collections recorded in CY 2022</t>
  </si>
  <si>
    <t>Income realized for RPT/SET advance payments</t>
  </si>
  <si>
    <t>Realization of income on CY 2022 advance payments</t>
  </si>
  <si>
    <t>Other adjustment tax refund</t>
  </si>
  <si>
    <t>Other Deferred Credits - RPT Advance as of Dec. 31, 2022</t>
  </si>
  <si>
    <t>Total Other Deferred Credits</t>
  </si>
  <si>
    <t>GF</t>
  </si>
  <si>
    <t>SEF</t>
  </si>
  <si>
    <t>TF</t>
  </si>
  <si>
    <t>Accounts Payable - MOOE 2021</t>
  </si>
  <si>
    <t>Accounts Payable - MOOE 2022</t>
  </si>
  <si>
    <t>Accounts Payable - Capital Outlay 2021</t>
  </si>
  <si>
    <t>Accounts Payable - Capital Outlay 2022</t>
  </si>
  <si>
    <t>Accounts Payable - Unclaimed Checks 2021</t>
  </si>
  <si>
    <t>Accounts Payable - Unclaimed Checks 2022</t>
  </si>
  <si>
    <t>Accounts Payable - Numancia Residences</t>
  </si>
  <si>
    <t>Accounts Payable - Maintenance and Other Operating Expenses</t>
  </si>
  <si>
    <t>Accounts Payable - Hospital Charge - Ospital ng Maynila</t>
  </si>
  <si>
    <t>Accounts Payable - Capital Outlay</t>
  </si>
  <si>
    <t>NFS</t>
  </si>
  <si>
    <t>AFR</t>
  </si>
  <si>
    <t>Table 5. Utilization of Hospital Charges:</t>
  </si>
  <si>
    <t>Beginning Balances</t>
  </si>
  <si>
    <t>Jose Abad Santos General Hospital</t>
  </si>
  <si>
    <t xml:space="preserve">Ospital ng Tondo </t>
  </si>
  <si>
    <t>Add: Collections for CY 2022</t>
  </si>
  <si>
    <t>Less: Utilization for 2022</t>
  </si>
  <si>
    <t>Unutilized HC</t>
  </si>
  <si>
    <t>Not verifiable. No breakdown of Due from GOCCs account in the NFS.</t>
  </si>
  <si>
    <t>Utilization Rate</t>
  </si>
  <si>
    <t>25 per cent</t>
  </si>
  <si>
    <t> Particulars</t>
  </si>
  <si>
    <t>PS</t>
  </si>
  <si>
    <t>CO</t>
  </si>
  <si>
    <t>Client-focused</t>
  </si>
  <si>
    <t>Organization-focused</t>
  </si>
  <si>
    <t>CY 2022 Total Budget</t>
  </si>
  <si>
    <t>Per cent of the City’s total appropriations</t>
  </si>
  <si>
    <t>SCBAA</t>
  </si>
  <si>
    <t>Status of Implementation</t>
  </si>
  <si>
    <t>No. of PPAs (GPB)</t>
  </si>
  <si>
    <t>Budget (based on GPB)</t>
  </si>
  <si>
    <t>Client</t>
  </si>
  <si>
    <t>Org</t>
  </si>
  <si>
    <t>Implemented</t>
  </si>
  <si>
    <t>Unimplemented</t>
  </si>
  <si>
    <t>No status</t>
  </si>
  <si>
    <t>GPB</t>
  </si>
  <si>
    <t>Actual Cost</t>
  </si>
  <si>
    <t>Under-utilized balance</t>
  </si>
  <si>
    <t>(based on GAD AR)</t>
  </si>
  <si>
    <t>Org-focused</t>
  </si>
  <si>
    <t>BIR</t>
  </si>
  <si>
    <t>GSIS</t>
  </si>
  <si>
    <t>Pag-IBIG</t>
  </si>
  <si>
    <t>PhilHealth</t>
  </si>
  <si>
    <t>Balance, 1/1/22</t>
  </si>
  <si>
    <t>adjusted per revised Part 2</t>
  </si>
  <si>
    <t>Add: Withheld in 2022</t>
  </si>
  <si>
    <t>Less: Remittances in 2022</t>
  </si>
  <si>
    <t>Balance, 12/31/22</t>
  </si>
  <si>
    <t>Remittances in 2023</t>
  </si>
  <si>
    <t>Unremitted Amount</t>
  </si>
  <si>
    <t>Total Unremitted Amount</t>
  </si>
  <si>
    <t>Remittances in 2023 not yet recognized in the books of account</t>
  </si>
  <si>
    <t>Total Unremitted Amount, net of adjustment</t>
  </si>
  <si>
    <t>Beginning</t>
  </si>
  <si>
    <t>January 1 to</t>
  </si>
  <si>
    <t>Ending</t>
  </si>
  <si>
    <t>December 31, 2022</t>
  </si>
  <si>
    <t>Jan. 1, 2022</t>
  </si>
  <si>
    <t>NS/ND/</t>
  </si>
  <si>
    <t>NSSDC</t>
  </si>
  <si>
    <t>Adjustment</t>
  </si>
  <si>
    <t>Dec. 31, 2022</t>
  </si>
  <si>
    <t>NC</t>
  </si>
  <si>
    <t xml:space="preserve">Notice of Suspension </t>
  </si>
  <si>
    <t xml:space="preserve">Notice of Disallowance </t>
  </si>
  <si>
    <t xml:space="preserve">Notice of Charge </t>
  </si>
  <si>
    <t>Reversion of Appropriations</t>
  </si>
  <si>
    <t>D.</t>
  </si>
  <si>
    <t>Executive Office</t>
  </si>
  <si>
    <t xml:space="preserve"> City Council</t>
  </si>
  <si>
    <t>Increase/ (Decrease)</t>
  </si>
  <si>
    <t>Tie-Up</t>
  </si>
  <si>
    <t>Elected</t>
  </si>
  <si>
    <t>Assets</t>
  </si>
  <si>
    <t>Permanent</t>
  </si>
  <si>
    <t>Liabilities</t>
  </si>
  <si>
    <t>Co-Terminus</t>
  </si>
  <si>
    <t>Equity</t>
  </si>
  <si>
    <t>Temporary/Casual</t>
  </si>
  <si>
    <t>Consultant</t>
  </si>
  <si>
    <t>Expenses</t>
  </si>
  <si>
    <t>Contractual</t>
  </si>
  <si>
    <t>Job Order</t>
  </si>
  <si>
    <t>Transfers, Assistance and Subsidy to</t>
  </si>
  <si>
    <t>Medical Residents</t>
  </si>
  <si>
    <t>Other Professionals</t>
  </si>
  <si>
    <t xml:space="preserve">         Total</t>
  </si>
  <si>
    <t>Appropriations</t>
  </si>
  <si>
    <t>Obligations</t>
  </si>
  <si>
    <t>Amount per FS</t>
  </si>
  <si>
    <t xml:space="preserve"> Total </t>
  </si>
  <si>
    <t>Per Annex</t>
  </si>
  <si>
    <t>Less than 1 year</t>
  </si>
  <si>
    <t>More than 1 year</t>
  </si>
  <si>
    <t xml:space="preserve">- </t>
  </si>
  <si>
    <t>Advances for Special Disbursing Officer</t>
  </si>
  <si>
    <t>Receivables - Disallowances/ Charges</t>
  </si>
  <si>
    <t xml:space="preserve"> -   </t>
  </si>
  <si>
    <t>On Demand</t>
  </si>
  <si>
    <t>&lt; 1 Year but &gt; 3 years</t>
  </si>
  <si>
    <t>   427,193,827.17</t>
  </si>
  <si>
    <r>
      <t>Special Education Tax</t>
    </r>
    <r>
      <rPr>
        <sz val="8"/>
        <color theme="1"/>
        <rFont val="Arial"/>
        <family val="2"/>
      </rPr>
      <t>  </t>
    </r>
  </si>
  <si>
    <r>
      <t>Other Taxes</t>
    </r>
    <r>
      <rPr>
        <sz val="8"/>
        <color theme="1"/>
        <rFont val="Arial"/>
        <family val="2"/>
      </rPr>
      <t>  </t>
    </r>
  </si>
  <si>
    <r>
      <t>Actual Difference</t>
    </r>
    <r>
      <rPr>
        <sz val="8"/>
        <color theme="1"/>
        <rFont val="Arial"/>
        <family val="2"/>
      </rPr>
      <t>  </t>
    </r>
  </si>
  <si>
    <r>
      <t>Capital Expenditures</t>
    </r>
    <r>
      <rPr>
        <sz val="8"/>
        <color theme="1"/>
        <rFont val="Arial"/>
        <family val="2"/>
      </rPr>
      <t>  </t>
    </r>
  </si>
  <si>
    <r>
      <t>Timing Difference</t>
    </r>
    <r>
      <rPr>
        <sz val="8"/>
        <color theme="1"/>
        <rFont val="Arial"/>
        <family val="2"/>
      </rPr>
      <t>   </t>
    </r>
  </si>
  <si>
    <t>Prior year adjustments</t>
  </si>
  <si>
    <t>Restated balance, Jan. 1, 2022</t>
  </si>
  <si>
    <t>P4,791,114,393.22</t>
  </si>
  <si>
    <t xml:space="preserve">Adjustment of net revenue recognized </t>
  </si>
  <si>
    <t>directly in net assets/equity</t>
  </si>
  <si>
    <t>Maintenance and Other Operating</t>
  </si>
  <si>
    <t>Proceeds from Sale/Disposal of</t>
  </si>
  <si>
    <t>Property, Plant and Equipment</t>
  </si>
  <si>
    <t xml:space="preserve">Purchase/Construction of Property, Plant </t>
  </si>
  <si>
    <t>and Equipment</t>
  </si>
  <si>
    <t xml:space="preserve">Total Cash Provided by (Used in) </t>
  </si>
  <si>
    <t>Operating, Investing and Financing Activities</t>
  </si>
  <si>
    <t>Transfers, Assistance and Subsidy To</t>
  </si>
  <si>
    <t>(All amounts in Philippine Peso)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</si>
</sst>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.00_);_(* \(#,##0.00\);_(* &quot;-&quot;_);_(@_)"/>
    <numFmt numFmtId="166" formatCode="_(* #,##0.0000_);_(* \(#,##0.0000\);_(* &quot;-&quot;??_);_(@_)"/>
    <numFmt numFmtId="167" formatCode="_(* #,##0.000000_);_(* \(#,##0.000000\);_(* &quot;-&quot;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color indexed="8"/>
      <name val="Times New Roman"/>
      <family val="1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i/>
      <sz val="11"/>
      <color indexed="8"/>
      <name val="Arial"/>
      <family val="2"/>
    </font>
    <font>
      <b/>
      <i/>
      <sz val="11"/>
      <color indexed="8"/>
      <name val="Arial"/>
      <family val="2"/>
    </font>
    <font>
      <sz val="11"/>
      <color theme="1"/>
      <name val="Arial"/>
      <family val="2"/>
    </font>
    <font>
      <b/>
      <u/>
      <sz val="11"/>
      <color indexed="8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i/>
      <sz val="10"/>
      <color rgb="FF92D050"/>
      <name val="Arial"/>
      <family val="2"/>
    </font>
    <font>
      <sz val="11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.05"/>
      <color indexed="8"/>
      <name val="Arial"/>
      <family val="2"/>
    </font>
    <font>
      <i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B0F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22222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4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164" fontId="1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0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66">
    <xf numFmtId="0" fontId="0" fillId="0" borderId="0" xfId="0"/>
    <xf numFmtId="0" fontId="14" fillId="0" borderId="0" xfId="1" applyFont="1"/>
    <xf numFmtId="164" fontId="14" fillId="0" borderId="0" xfId="1" applyNumberFormat="1" applyFont="1"/>
    <xf numFmtId="164" fontId="14" fillId="0" borderId="0" xfId="1" applyNumberFormat="1" applyFont="1" applyAlignment="1">
      <alignment horizontal="justify" vertical="top" wrapText="1"/>
    </xf>
    <xf numFmtId="0" fontId="13" fillId="0" borderId="0" xfId="1" applyFont="1" applyAlignment="1">
      <alignment horizontal="center" vertical="top" wrapText="1"/>
    </xf>
    <xf numFmtId="164" fontId="13" fillId="0" borderId="0" xfId="1" applyNumberFormat="1" applyFont="1" applyAlignment="1">
      <alignment horizontal="center" vertical="top" wrapText="1"/>
    </xf>
    <xf numFmtId="0" fontId="14" fillId="0" borderId="0" xfId="1" applyFont="1" applyAlignment="1">
      <alignment vertical="center"/>
    </xf>
    <xf numFmtId="164" fontId="13" fillId="0" borderId="0" xfId="1" applyNumberFormat="1" applyFont="1" applyAlignment="1">
      <alignment horizontal="left" vertical="top" wrapText="1"/>
    </xf>
    <xf numFmtId="0" fontId="14" fillId="0" borderId="0" xfId="1" applyFont="1" applyAlignment="1">
      <alignment horizontal="justify" vertical="top" wrapText="1"/>
    </xf>
    <xf numFmtId="164" fontId="14" fillId="0" borderId="0" xfId="2" applyFont="1" applyFill="1" applyBorder="1" applyAlignment="1" applyProtection="1"/>
    <xf numFmtId="164" fontId="16" fillId="0" borderId="0" xfId="1" applyNumberFormat="1" applyFont="1" applyAlignment="1">
      <alignment horizontal="justify" vertical="top" wrapText="1"/>
    </xf>
    <xf numFmtId="0" fontId="14" fillId="0" borderId="0" xfId="1" applyFont="1" applyAlignment="1">
      <alignment horizontal="center" vertical="top" wrapText="1"/>
    </xf>
    <xf numFmtId="0" fontId="14" fillId="0" borderId="0" xfId="1" quotePrefix="1" applyFont="1" applyAlignment="1">
      <alignment horizontal="center" vertical="top" wrapText="1"/>
    </xf>
    <xf numFmtId="164" fontId="14" fillId="0" borderId="0" xfId="1" applyNumberFormat="1" applyFont="1" applyAlignment="1">
      <alignment horizontal="left" vertical="top" wrapText="1"/>
    </xf>
    <xf numFmtId="164" fontId="17" fillId="0" borderId="0" xfId="3" applyFont="1" applyFill="1" applyBorder="1" applyAlignment="1" applyProtection="1">
      <alignment vertical="top"/>
    </xf>
    <xf numFmtId="164" fontId="17" fillId="0" borderId="0" xfId="3" applyFont="1" applyFill="1" applyBorder="1" applyAlignment="1" applyProtection="1">
      <alignment vertical="top"/>
      <protection locked="0"/>
    </xf>
    <xf numFmtId="164" fontId="13" fillId="0" borderId="0" xfId="1" applyNumberFormat="1" applyFont="1" applyAlignment="1">
      <alignment horizontal="justify" vertical="top" wrapText="1"/>
    </xf>
    <xf numFmtId="0" fontId="18" fillId="0" borderId="0" xfId="1" applyFont="1" applyAlignment="1">
      <alignment horizontal="center" vertical="top" wrapText="1"/>
    </xf>
    <xf numFmtId="0" fontId="14" fillId="0" borderId="0" xfId="1" applyFont="1" applyAlignment="1">
      <alignment horizontal="center" vertical="top"/>
    </xf>
    <xf numFmtId="164" fontId="14" fillId="0" borderId="0" xfId="5" applyNumberFormat="1" applyFont="1" applyAlignment="1">
      <alignment horizontal="justify" vertical="top" wrapText="1"/>
    </xf>
    <xf numFmtId="164" fontId="15" fillId="0" borderId="0" xfId="1" applyNumberFormat="1" applyFont="1" applyAlignment="1">
      <alignment horizontal="left"/>
    </xf>
    <xf numFmtId="0" fontId="15" fillId="0" borderId="0" xfId="1" applyFont="1" applyAlignment="1">
      <alignment horizontal="left"/>
    </xf>
    <xf numFmtId="164" fontId="19" fillId="0" borderId="0" xfId="1" applyNumberFormat="1" applyFont="1" applyAlignment="1">
      <alignment horizontal="left"/>
    </xf>
    <xf numFmtId="164" fontId="14" fillId="0" borderId="0" xfId="1" applyNumberFormat="1" applyFont="1" applyAlignment="1">
      <alignment horizontal="center"/>
    </xf>
    <xf numFmtId="0" fontId="14" fillId="0" borderId="0" xfId="2" applyNumberFormat="1" applyFont="1" applyFill="1" applyBorder="1" applyAlignment="1" applyProtection="1"/>
    <xf numFmtId="164" fontId="14" fillId="0" borderId="0" xfId="1" applyNumberFormat="1" applyFont="1" applyAlignment="1">
      <alignment vertical="top"/>
    </xf>
    <xf numFmtId="0" fontId="14" fillId="0" borderId="0" xfId="1" applyFont="1" applyAlignment="1">
      <alignment vertical="top"/>
    </xf>
    <xf numFmtId="0" fontId="14" fillId="0" borderId="0" xfId="2" applyNumberFormat="1" applyFont="1" applyFill="1" applyBorder="1" applyAlignment="1" applyProtection="1">
      <alignment horizontal="center"/>
    </xf>
    <xf numFmtId="164" fontId="14" fillId="0" borderId="0" xfId="6" applyFont="1" applyFill="1" applyBorder="1" applyAlignment="1" applyProtection="1"/>
    <xf numFmtId="164" fontId="13" fillId="0" borderId="0" xfId="6" applyFont="1" applyFill="1" applyAlignment="1">
      <alignment horizontal="center" vertical="top" wrapText="1"/>
    </xf>
    <xf numFmtId="164" fontId="14" fillId="0" borderId="0" xfId="6" applyFont="1" applyFill="1" applyBorder="1" applyAlignment="1" applyProtection="1">
      <alignment vertical="top"/>
    </xf>
    <xf numFmtId="0" fontId="17" fillId="0" borderId="0" xfId="39" applyFont="1"/>
    <xf numFmtId="164" fontId="21" fillId="0" borderId="2" xfId="6" applyFont="1" applyFill="1" applyBorder="1" applyAlignment="1">
      <alignment horizontal="center" vertical="center"/>
    </xf>
    <xf numFmtId="164" fontId="21" fillId="0" borderId="0" xfId="39" applyNumberFormat="1" applyFont="1"/>
    <xf numFmtId="164" fontId="17" fillId="0" borderId="0" xfId="39" applyNumberFormat="1" applyFont="1"/>
    <xf numFmtId="164" fontId="17" fillId="0" borderId="0" xfId="6" applyFont="1" applyFill="1" applyBorder="1" applyAlignment="1">
      <alignment horizontal="center"/>
    </xf>
    <xf numFmtId="43" fontId="17" fillId="0" borderId="0" xfId="39" applyNumberFormat="1" applyFont="1"/>
    <xf numFmtId="164" fontId="17" fillId="0" borderId="1" xfId="39" applyNumberFormat="1" applyFont="1" applyBorder="1"/>
    <xf numFmtId="164" fontId="21" fillId="0" borderId="1" xfId="6" applyFont="1" applyFill="1" applyBorder="1" applyAlignment="1">
      <alignment horizontal="center"/>
    </xf>
    <xf numFmtId="164" fontId="17" fillId="0" borderId="0" xfId="6" applyFont="1" applyFill="1" applyBorder="1" applyAlignment="1"/>
    <xf numFmtId="164" fontId="21" fillId="0" borderId="0" xfId="6" applyFont="1" applyFill="1" applyBorder="1" applyAlignment="1">
      <alignment horizontal="center"/>
    </xf>
    <xf numFmtId="164" fontId="21" fillId="0" borderId="1" xfId="39" applyNumberFormat="1" applyFont="1" applyBorder="1"/>
    <xf numFmtId="0" fontId="21" fillId="0" borderId="0" xfId="39" applyFont="1"/>
    <xf numFmtId="164" fontId="22" fillId="0" borderId="0" xfId="39" applyNumberFormat="1" applyFont="1"/>
    <xf numFmtId="0" fontId="21" fillId="0" borderId="0" xfId="0" applyFont="1"/>
    <xf numFmtId="0" fontId="17" fillId="0" borderId="0" xfId="0" applyFont="1"/>
    <xf numFmtId="49" fontId="17" fillId="0" borderId="0" xfId="0" applyNumberFormat="1" applyFont="1"/>
    <xf numFmtId="164" fontId="17" fillId="0" borderId="0" xfId="0" applyNumberFormat="1" applyFont="1" applyAlignment="1">
      <alignment horizontal="center"/>
    </xf>
    <xf numFmtId="164" fontId="17" fillId="0" borderId="0" xfId="6" applyFont="1" applyAlignment="1">
      <alignment horizontal="center"/>
    </xf>
    <xf numFmtId="164" fontId="17" fillId="0" borderId="0" xfId="0" applyNumberFormat="1" applyFont="1"/>
    <xf numFmtId="164" fontId="17" fillId="0" borderId="0" xfId="6" applyFont="1" applyFill="1" applyBorder="1"/>
    <xf numFmtId="164" fontId="22" fillId="0" borderId="0" xfId="1" applyNumberFormat="1" applyFont="1" applyAlignment="1">
      <alignment horizontal="justify" vertical="top" wrapText="1"/>
    </xf>
    <xf numFmtId="164" fontId="20" fillId="0" borderId="0" xfId="1" applyNumberFormat="1" applyFont="1" applyAlignment="1">
      <alignment horizontal="center" vertical="top" wrapText="1"/>
    </xf>
    <xf numFmtId="164" fontId="20" fillId="0" borderId="0" xfId="1" applyNumberFormat="1" applyFont="1" applyAlignment="1">
      <alignment horizontal="left" vertical="top" wrapText="1"/>
    </xf>
    <xf numFmtId="164" fontId="24" fillId="0" borderId="0" xfId="1" applyNumberFormat="1" applyFont="1" applyAlignment="1">
      <alignment horizontal="left" vertical="top" wrapText="1"/>
    </xf>
    <xf numFmtId="164" fontId="22" fillId="0" borderId="0" xfId="1" applyNumberFormat="1" applyFont="1" applyAlignment="1">
      <alignment horizontal="left" vertical="top" wrapText="1"/>
    </xf>
    <xf numFmtId="164" fontId="22" fillId="0" borderId="0" xfId="1" applyNumberFormat="1" applyFont="1" applyAlignment="1">
      <alignment vertical="top" wrapText="1"/>
    </xf>
    <xf numFmtId="49" fontId="22" fillId="0" borderId="0" xfId="1" applyNumberFormat="1" applyFont="1" applyAlignment="1">
      <alignment horizontal="center" vertical="top" wrapText="1"/>
    </xf>
    <xf numFmtId="164" fontId="22" fillId="0" borderId="0" xfId="6" applyFont="1" applyFill="1" applyBorder="1" applyAlignment="1" applyProtection="1">
      <alignment vertical="top"/>
    </xf>
    <xf numFmtId="164" fontId="22" fillId="0" borderId="0" xfId="2" applyFont="1" applyFill="1" applyBorder="1" applyAlignment="1" applyProtection="1">
      <alignment vertical="top"/>
    </xf>
    <xf numFmtId="164" fontId="20" fillId="0" borderId="0" xfId="1" applyNumberFormat="1" applyFont="1" applyAlignment="1">
      <alignment vertical="top" wrapText="1"/>
    </xf>
    <xf numFmtId="165" fontId="14" fillId="0" borderId="0" xfId="1" applyNumberFormat="1" applyFont="1" applyAlignment="1">
      <alignment horizontal="justify" vertical="top" wrapText="1"/>
    </xf>
    <xf numFmtId="165" fontId="13" fillId="0" borderId="0" xfId="1" applyNumberFormat="1" applyFont="1" applyAlignment="1">
      <alignment horizontal="center" vertical="top" wrapText="1"/>
    </xf>
    <xf numFmtId="165" fontId="14" fillId="0" borderId="0" xfId="1" applyNumberFormat="1" applyFont="1" applyAlignment="1">
      <alignment horizontal="center" vertical="top" wrapText="1"/>
    </xf>
    <xf numFmtId="165" fontId="22" fillId="0" borderId="3" xfId="2" applyNumberFormat="1" applyFont="1" applyFill="1" applyBorder="1" applyAlignment="1" applyProtection="1">
      <alignment vertical="top"/>
    </xf>
    <xf numFmtId="49" fontId="14" fillId="0" borderId="0" xfId="1" applyNumberFormat="1" applyFont="1" applyAlignment="1">
      <alignment horizontal="center" vertical="top" wrapText="1"/>
    </xf>
    <xf numFmtId="165" fontId="22" fillId="0" borderId="2" xfId="2" applyNumberFormat="1" applyFont="1" applyFill="1" applyBorder="1" applyAlignment="1" applyProtection="1">
      <alignment vertical="top"/>
    </xf>
    <xf numFmtId="165" fontId="14" fillId="0" borderId="2" xfId="2" applyNumberFormat="1" applyFont="1" applyFill="1" applyBorder="1" applyAlignment="1" applyProtection="1">
      <alignment vertical="top"/>
    </xf>
    <xf numFmtId="165" fontId="20" fillId="0" borderId="0" xfId="2" applyNumberFormat="1" applyFont="1" applyFill="1" applyBorder="1" applyAlignment="1" applyProtection="1">
      <alignment vertical="top"/>
    </xf>
    <xf numFmtId="165" fontId="22" fillId="0" borderId="0" xfId="2" applyNumberFormat="1" applyFont="1" applyFill="1" applyBorder="1" applyAlignment="1" applyProtection="1">
      <alignment vertical="top"/>
    </xf>
    <xf numFmtId="165" fontId="14" fillId="0" borderId="0" xfId="2" applyNumberFormat="1" applyFont="1" applyFill="1" applyBorder="1" applyAlignment="1" applyProtection="1">
      <alignment vertical="top"/>
    </xf>
    <xf numFmtId="165" fontId="14" fillId="0" borderId="0" xfId="1" applyNumberFormat="1" applyFont="1" applyAlignment="1">
      <alignment vertical="top" wrapText="1"/>
    </xf>
    <xf numFmtId="165" fontId="18" fillId="0" borderId="0" xfId="1" applyNumberFormat="1" applyFont="1" applyAlignment="1">
      <alignment horizontal="center" vertical="top" wrapText="1"/>
    </xf>
    <xf numFmtId="4" fontId="0" fillId="0" borderId="0" xfId="0" applyNumberFormat="1"/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horizontal="left" vertical="center" wrapText="1" indent="1"/>
    </xf>
    <xf numFmtId="4" fontId="17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 indent="2"/>
    </xf>
    <xf numFmtId="0" fontId="17" fillId="0" borderId="5" xfId="0" applyFont="1" applyBorder="1" applyAlignment="1">
      <alignment horizontal="left" vertical="center" wrapText="1" indent="2"/>
    </xf>
    <xf numFmtId="4" fontId="17" fillId="0" borderId="5" xfId="0" applyNumberFormat="1" applyFont="1" applyBorder="1" applyAlignment="1">
      <alignment horizontal="right" vertical="center" wrapText="1"/>
    </xf>
    <xf numFmtId="0" fontId="21" fillId="0" borderId="5" xfId="0" applyFont="1" applyBorder="1" applyAlignment="1">
      <alignment horizontal="center" vertical="center" wrapText="1"/>
    </xf>
    <xf numFmtId="4" fontId="21" fillId="0" borderId="5" xfId="0" applyNumberFormat="1" applyFont="1" applyBorder="1" applyAlignment="1">
      <alignment horizontal="right" vertical="center" wrapText="1"/>
    </xf>
    <xf numFmtId="164" fontId="21" fillId="0" borderId="4" xfId="6" applyFont="1" applyBorder="1" applyAlignment="1">
      <alignment horizontal="center" vertical="center" wrapText="1"/>
    </xf>
    <xf numFmtId="164" fontId="0" fillId="0" borderId="0" xfId="6" applyFont="1"/>
    <xf numFmtId="164" fontId="17" fillId="0" borderId="0" xfId="6" applyFont="1" applyAlignment="1">
      <alignment horizontal="right" vertical="center" wrapText="1"/>
    </xf>
    <xf numFmtId="164" fontId="21" fillId="0" borderId="5" xfId="6" applyFont="1" applyBorder="1" applyAlignment="1">
      <alignment horizontal="right" vertical="center" wrapText="1"/>
    </xf>
    <xf numFmtId="9" fontId="21" fillId="0" borderId="4" xfId="68" applyFont="1" applyBorder="1" applyAlignment="1">
      <alignment horizontal="center" vertical="center" wrapText="1"/>
    </xf>
    <xf numFmtId="9" fontId="0" fillId="0" borderId="0" xfId="68" applyFont="1"/>
    <xf numFmtId="9" fontId="17" fillId="0" borderId="0" xfId="68" applyFont="1" applyAlignment="1">
      <alignment horizontal="right" vertical="center" wrapText="1"/>
    </xf>
    <xf numFmtId="164" fontId="17" fillId="0" borderId="0" xfId="6" applyFont="1" applyAlignment="1">
      <alignment horizontal="center" vertical="center" wrapText="1"/>
    </xf>
    <xf numFmtId="164" fontId="17" fillId="0" borderId="5" xfId="6" applyFont="1" applyBorder="1" applyAlignment="1">
      <alignment horizontal="right" vertical="center" wrapText="1"/>
    </xf>
    <xf numFmtId="164" fontId="21" fillId="0" borderId="4" xfId="6" applyFont="1" applyBorder="1" applyAlignment="1">
      <alignment horizontal="right" vertical="center" wrapText="1"/>
    </xf>
    <xf numFmtId="164" fontId="25" fillId="0" borderId="0" xfId="6" applyFont="1" applyFill="1" applyBorder="1" applyAlignment="1" applyProtection="1">
      <alignment horizontal="right" vertical="center"/>
    </xf>
    <xf numFmtId="166" fontId="17" fillId="0" borderId="0" xfId="6" applyNumberFormat="1" applyFont="1" applyAlignment="1">
      <alignment horizontal="right" vertical="center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4" fontId="17" fillId="0" borderId="0" xfId="0" applyNumberFormat="1" applyFont="1" applyAlignment="1">
      <alignment vertical="center" wrapText="1"/>
    </xf>
    <xf numFmtId="4" fontId="17" fillId="0" borderId="5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4" fontId="17" fillId="0" borderId="0" xfId="0" applyNumberFormat="1" applyFont="1" applyAlignment="1">
      <alignment horizontal="center" vertical="center" wrapText="1"/>
    </xf>
    <xf numFmtId="4" fontId="17" fillId="0" borderId="5" xfId="0" applyNumberFormat="1" applyFont="1" applyBorder="1" applyAlignment="1">
      <alignment horizontal="center" vertical="center" wrapText="1"/>
    </xf>
    <xf numFmtId="4" fontId="21" fillId="0" borderId="5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2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0" borderId="0" xfId="0" applyFont="1" applyAlignment="1">
      <alignment horizontal="justify" vertical="center" wrapText="1"/>
    </xf>
    <xf numFmtId="0" fontId="17" fillId="0" borderId="5" xfId="0" applyFont="1" applyBorder="1" applyAlignment="1">
      <alignment horizontal="justify" vertical="center" wrapText="1"/>
    </xf>
    <xf numFmtId="0" fontId="21" fillId="0" borderId="5" xfId="0" applyFont="1" applyBorder="1" applyAlignment="1">
      <alignment vertical="center" wrapText="1"/>
    </xf>
    <xf numFmtId="4" fontId="21" fillId="0" borderId="0" xfId="0" applyNumberFormat="1" applyFont="1" applyAlignment="1">
      <alignment horizontal="right" vertical="center" wrapText="1"/>
    </xf>
    <xf numFmtId="0" fontId="21" fillId="0" borderId="6" xfId="0" applyFont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4" fontId="26" fillId="0" borderId="0" xfId="0" applyNumberFormat="1" applyFont="1"/>
    <xf numFmtId="4" fontId="0" fillId="4" borderId="0" xfId="0" applyNumberFormat="1" applyFill="1"/>
    <xf numFmtId="0" fontId="28" fillId="0" borderId="7" xfId="0" applyFont="1" applyBorder="1" applyAlignment="1">
      <alignment horizontal="left" vertical="center" wrapText="1" indent="5"/>
    </xf>
    <xf numFmtId="4" fontId="28" fillId="0" borderId="7" xfId="0" applyNumberFormat="1" applyFont="1" applyBorder="1" applyAlignment="1">
      <alignment horizontal="right" vertical="center" wrapText="1"/>
    </xf>
    <xf numFmtId="0" fontId="28" fillId="0" borderId="7" xfId="0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7" fillId="0" borderId="5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top" wrapText="1"/>
    </xf>
    <xf numFmtId="4" fontId="26" fillId="0" borderId="0" xfId="0" applyNumberFormat="1" applyFont="1" applyAlignment="1">
      <alignment vertical="top"/>
    </xf>
    <xf numFmtId="0" fontId="21" fillId="0" borderId="0" xfId="0" applyFont="1" applyAlignment="1">
      <alignment horizontal="center" vertical="center" wrapText="1"/>
    </xf>
    <xf numFmtId="4" fontId="0" fillId="0" borderId="0" xfId="0" applyNumberFormat="1" applyAlignment="1">
      <alignment vertical="top"/>
    </xf>
    <xf numFmtId="0" fontId="21" fillId="0" borderId="4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21" fillId="0" borderId="0" xfId="0" applyFont="1" applyAlignment="1">
      <alignment horizontal="right" vertical="center" wrapText="1"/>
    </xf>
    <xf numFmtId="4" fontId="17" fillId="0" borderId="0" xfId="0" applyNumberFormat="1" applyFont="1" applyAlignment="1">
      <alignment vertical="center"/>
    </xf>
    <xf numFmtId="164" fontId="0" fillId="0" borderId="0" xfId="0" applyNumberFormat="1"/>
    <xf numFmtId="0" fontId="31" fillId="0" borderId="0" xfId="0" applyFont="1" applyAlignment="1">
      <alignment horizontal="center"/>
    </xf>
    <xf numFmtId="164" fontId="26" fillId="0" borderId="0" xfId="0" applyNumberFormat="1" applyFont="1"/>
    <xf numFmtId="164" fontId="26" fillId="0" borderId="0" xfId="6" applyFont="1"/>
    <xf numFmtId="0" fontId="0" fillId="2" borderId="0" xfId="0" applyFill="1" applyAlignment="1">
      <alignment horizontal="center"/>
    </xf>
    <xf numFmtId="0" fontId="28" fillId="0" borderId="0" xfId="0" applyFont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4" fontId="29" fillId="0" borderId="0" xfId="0" applyNumberFormat="1" applyFont="1" applyAlignment="1">
      <alignment horizontal="right" vertical="center" wrapText="1"/>
    </xf>
    <xf numFmtId="164" fontId="25" fillId="0" borderId="0" xfId="6" applyFont="1" applyFill="1" applyBorder="1" applyAlignment="1" applyProtection="1">
      <alignment horizontal="left" vertical="center"/>
    </xf>
    <xf numFmtId="4" fontId="28" fillId="0" borderId="5" xfId="0" applyNumberFormat="1" applyFont="1" applyBorder="1" applyAlignment="1">
      <alignment horizontal="right" vertical="center" wrapText="1"/>
    </xf>
    <xf numFmtId="4" fontId="29" fillId="0" borderId="5" xfId="0" applyNumberFormat="1" applyFont="1" applyBorder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164" fontId="17" fillId="0" borderId="0" xfId="6" applyFont="1" applyAlignment="1">
      <alignment horizontal="left" vertical="center" wrapText="1" indent="5"/>
    </xf>
    <xf numFmtId="164" fontId="17" fillId="0" borderId="0" xfId="6" applyFont="1" applyAlignment="1">
      <alignment horizontal="left" vertical="center" wrapText="1" indent="6"/>
    </xf>
    <xf numFmtId="164" fontId="17" fillId="0" borderId="0" xfId="6" applyFont="1" applyAlignment="1">
      <alignment vertical="center" wrapText="1"/>
    </xf>
    <xf numFmtId="4" fontId="21" fillId="0" borderId="5" xfId="0" applyNumberFormat="1" applyFont="1" applyBorder="1" applyAlignment="1">
      <alignment vertical="center" wrapText="1"/>
    </xf>
    <xf numFmtId="4" fontId="0" fillId="2" borderId="0" xfId="0" applyNumberFormat="1" applyFill="1"/>
    <xf numFmtId="164" fontId="0" fillId="0" borderId="0" xfId="6" applyFont="1" applyFill="1"/>
    <xf numFmtId="9" fontId="0" fillId="0" borderId="0" xfId="68" applyFont="1" applyFill="1"/>
    <xf numFmtId="4" fontId="21" fillId="0" borderId="4" xfId="0" applyNumberFormat="1" applyFont="1" applyBorder="1" applyAlignment="1">
      <alignment horizontal="right" vertical="center" wrapText="1"/>
    </xf>
    <xf numFmtId="0" fontId="21" fillId="0" borderId="5" xfId="0" applyFont="1" applyBorder="1" applyAlignment="1">
      <alignment horizontal="justify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justify" vertical="center"/>
    </xf>
    <xf numFmtId="4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4" fontId="21" fillId="0" borderId="0" xfId="0" applyNumberFormat="1" applyFont="1" applyAlignment="1">
      <alignment horizontal="right" vertical="center"/>
    </xf>
    <xf numFmtId="0" fontId="17" fillId="0" borderId="5" xfId="0" applyFont="1" applyBorder="1" applyAlignment="1">
      <alignment horizontal="justify" vertical="center"/>
    </xf>
    <xf numFmtId="4" fontId="17" fillId="0" borderId="5" xfId="0" applyNumberFormat="1" applyFont="1" applyBorder="1" applyAlignment="1">
      <alignment horizontal="right" vertical="center"/>
    </xf>
    <xf numFmtId="0" fontId="21" fillId="0" borderId="5" xfId="0" applyFont="1" applyBorder="1" applyAlignment="1">
      <alignment horizontal="justify" vertical="center"/>
    </xf>
    <xf numFmtId="4" fontId="28" fillId="0" borderId="5" xfId="0" applyNumberFormat="1" applyFont="1" applyBorder="1" applyAlignment="1">
      <alignment horizontal="right" vertical="center"/>
    </xf>
    <xf numFmtId="4" fontId="17" fillId="2" borderId="0" xfId="0" applyNumberFormat="1" applyFont="1" applyFill="1" applyAlignment="1">
      <alignment horizontal="right" vertical="center" wrapText="1"/>
    </xf>
    <xf numFmtId="4" fontId="17" fillId="2" borderId="5" xfId="0" applyNumberFormat="1" applyFont="1" applyFill="1" applyBorder="1" applyAlignment="1">
      <alignment horizontal="right" vertical="center" wrapText="1"/>
    </xf>
    <xf numFmtId="0" fontId="21" fillId="0" borderId="5" xfId="0" applyFont="1" applyBorder="1" applyAlignment="1">
      <alignment horizontal="right" vertical="center" wrapText="1"/>
    </xf>
    <xf numFmtId="0" fontId="21" fillId="0" borderId="4" xfId="0" applyFont="1" applyBorder="1" applyAlignment="1">
      <alignment vertical="center" wrapText="1"/>
    </xf>
    <xf numFmtId="4" fontId="21" fillId="2" borderId="0" xfId="0" applyNumberFormat="1" applyFont="1" applyFill="1" applyAlignment="1">
      <alignment horizontal="right" vertical="center" wrapText="1"/>
    </xf>
    <xf numFmtId="164" fontId="0" fillId="0" borderId="0" xfId="6" applyFont="1" applyAlignment="1">
      <alignment vertical="top"/>
    </xf>
    <xf numFmtId="0" fontId="28" fillId="0" borderId="0" xfId="0" applyFont="1"/>
    <xf numFmtId="4" fontId="32" fillId="0" borderId="5" xfId="0" applyNumberFormat="1" applyFont="1" applyBorder="1" applyAlignment="1">
      <alignment horizontal="right" vertical="center" wrapText="1"/>
    </xf>
    <xf numFmtId="0" fontId="32" fillId="0" borderId="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4" fontId="33" fillId="0" borderId="0" xfId="0" applyNumberFormat="1" applyFont="1" applyAlignment="1">
      <alignment horizontal="right" vertical="center" wrapText="1"/>
    </xf>
    <xf numFmtId="4" fontId="33" fillId="0" borderId="5" xfId="0" applyNumberFormat="1" applyFont="1" applyBorder="1" applyAlignment="1">
      <alignment horizontal="right" vertical="center" wrapText="1"/>
    </xf>
    <xf numFmtId="0" fontId="32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right" vertical="center" wrapText="1"/>
    </xf>
    <xf numFmtId="0" fontId="17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0" fillId="2" borderId="0" xfId="0" applyFill="1"/>
    <xf numFmtId="0" fontId="17" fillId="0" borderId="5" xfId="0" applyFont="1" applyBorder="1" applyAlignment="1">
      <alignment horizontal="left" vertical="center" wrapText="1" indent="1"/>
    </xf>
    <xf numFmtId="4" fontId="17" fillId="0" borderId="10" xfId="0" applyNumberFormat="1" applyFont="1" applyBorder="1" applyAlignment="1">
      <alignment horizontal="right" vertical="center" wrapText="1"/>
    </xf>
    <xf numFmtId="0" fontId="17" fillId="0" borderId="10" xfId="0" applyFont="1" applyBorder="1" applyAlignment="1">
      <alignment horizontal="right" vertical="center" wrapText="1"/>
    </xf>
    <xf numFmtId="4" fontId="21" fillId="0" borderId="10" xfId="0" applyNumberFormat="1" applyFont="1" applyBorder="1" applyAlignment="1">
      <alignment horizontal="right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wrapText="1"/>
    </xf>
    <xf numFmtId="0" fontId="28" fillId="0" borderId="7" xfId="0" applyFont="1" applyBorder="1" applyAlignment="1">
      <alignment vertical="center" wrapText="1"/>
    </xf>
    <xf numFmtId="0" fontId="29" fillId="0" borderId="8" xfId="0" applyFont="1" applyBorder="1" applyAlignment="1">
      <alignment vertical="center" wrapText="1"/>
    </xf>
    <xf numFmtId="0" fontId="28" fillId="0" borderId="9" xfId="0" applyFont="1" applyBorder="1" applyAlignment="1">
      <alignment horizontal="center" vertical="center" wrapText="1"/>
    </xf>
    <xf numFmtId="4" fontId="17" fillId="0" borderId="7" xfId="0" applyNumberFormat="1" applyFont="1" applyBorder="1" applyAlignment="1">
      <alignment horizontal="right" vertical="center" wrapText="1"/>
    </xf>
    <xf numFmtId="0" fontId="17" fillId="0" borderId="7" xfId="0" applyFont="1" applyBorder="1" applyAlignment="1">
      <alignment horizontal="right" vertical="center" wrapText="1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right" vertical="center" wrapText="1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164" fontId="0" fillId="2" borderId="0" xfId="0" applyNumberFormat="1" applyFill="1"/>
    <xf numFmtId="0" fontId="21" fillId="0" borderId="7" xfId="0" applyFont="1" applyBorder="1" applyAlignment="1">
      <alignment vertical="center" wrapText="1"/>
    </xf>
    <xf numFmtId="4" fontId="21" fillId="0" borderId="7" xfId="0" applyNumberFormat="1" applyFont="1" applyBorder="1" applyAlignment="1">
      <alignment horizontal="right" vertical="center" wrapText="1"/>
    </xf>
    <xf numFmtId="0" fontId="21" fillId="0" borderId="7" xfId="0" applyFont="1" applyBorder="1" applyAlignment="1">
      <alignment horizontal="right" vertical="center" wrapText="1"/>
    </xf>
    <xf numFmtId="4" fontId="21" fillId="0" borderId="7" xfId="0" applyNumberFormat="1" applyFont="1" applyBorder="1" applyAlignment="1">
      <alignment vertical="center" wrapText="1"/>
    </xf>
    <xf numFmtId="4" fontId="21" fillId="0" borderId="10" xfId="0" applyNumberFormat="1" applyFont="1" applyBorder="1" applyAlignment="1">
      <alignment vertical="center" wrapText="1"/>
    </xf>
    <xf numFmtId="0" fontId="21" fillId="0" borderId="10" xfId="0" applyFont="1" applyBorder="1" applyAlignment="1">
      <alignment horizontal="right" vertical="center" wrapText="1"/>
    </xf>
    <xf numFmtId="43" fontId="0" fillId="0" borderId="0" xfId="0" applyNumberFormat="1"/>
    <xf numFmtId="0" fontId="17" fillId="0" borderId="11" xfId="0" applyFont="1" applyBorder="1" applyAlignment="1">
      <alignment vertical="center" wrapText="1"/>
    </xf>
    <xf numFmtId="0" fontId="17" fillId="2" borderId="0" xfId="0" applyFont="1" applyFill="1" applyAlignment="1">
      <alignment horizontal="right" vertical="center" wrapText="1"/>
    </xf>
    <xf numFmtId="4" fontId="17" fillId="5" borderId="5" xfId="0" applyNumberFormat="1" applyFont="1" applyFill="1" applyBorder="1" applyAlignment="1">
      <alignment horizontal="right" vertical="center" wrapText="1"/>
    </xf>
    <xf numFmtId="164" fontId="0" fillId="5" borderId="0" xfId="6" applyFont="1" applyFill="1"/>
    <xf numFmtId="4" fontId="17" fillId="5" borderId="0" xfId="0" applyNumberFormat="1" applyFont="1" applyFill="1" applyAlignment="1">
      <alignment horizontal="right" vertical="center" wrapText="1"/>
    </xf>
    <xf numFmtId="0" fontId="17" fillId="5" borderId="0" xfId="0" applyFont="1" applyFill="1" applyAlignment="1">
      <alignment horizontal="right" vertical="center" wrapText="1"/>
    </xf>
    <xf numFmtId="4" fontId="21" fillId="5" borderId="7" xfId="0" applyNumberFormat="1" applyFont="1" applyFill="1" applyBorder="1" applyAlignment="1">
      <alignment horizontal="right" vertical="center" wrapText="1"/>
    </xf>
    <xf numFmtId="4" fontId="21" fillId="5" borderId="10" xfId="0" applyNumberFormat="1" applyFont="1" applyFill="1" applyBorder="1" applyAlignment="1">
      <alignment vertical="center" wrapText="1"/>
    </xf>
    <xf numFmtId="4" fontId="21" fillId="5" borderId="10" xfId="0" applyNumberFormat="1" applyFont="1" applyFill="1" applyBorder="1" applyAlignment="1">
      <alignment horizontal="right" vertical="center" wrapText="1"/>
    </xf>
    <xf numFmtId="4" fontId="21" fillId="5" borderId="0" xfId="0" applyNumberFormat="1" applyFont="1" applyFill="1" applyAlignment="1">
      <alignment horizontal="right" vertical="center" wrapText="1"/>
    </xf>
    <xf numFmtId="164" fontId="17" fillId="5" borderId="7" xfId="6" applyFont="1" applyFill="1" applyBorder="1" applyAlignment="1">
      <alignment horizontal="right" vertical="center" wrapText="1"/>
    </xf>
    <xf numFmtId="164" fontId="21" fillId="5" borderId="7" xfId="6" applyFont="1" applyFill="1" applyBorder="1" applyAlignment="1">
      <alignment horizontal="right" vertical="center" wrapText="1"/>
    </xf>
    <xf numFmtId="0" fontId="38" fillId="0" borderId="0" xfId="0" applyFont="1" applyAlignment="1">
      <alignment horizontal="left" vertical="center" indent="6"/>
    </xf>
    <xf numFmtId="0" fontId="40" fillId="0" borderId="5" xfId="0" applyFont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4" fontId="41" fillId="0" borderId="0" xfId="0" applyNumberFormat="1" applyFont="1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4" fontId="41" fillId="0" borderId="0" xfId="0" applyNumberFormat="1" applyFont="1" applyAlignment="1">
      <alignment horizontal="right" vertical="center" wrapText="1" indent="1"/>
    </xf>
    <xf numFmtId="0" fontId="38" fillId="0" borderId="0" xfId="0" applyFont="1" applyAlignment="1">
      <alignment horizontal="justify" vertical="center" wrapText="1"/>
    </xf>
    <xf numFmtId="0" fontId="41" fillId="0" borderId="0" xfId="0" applyFont="1" applyAlignment="1">
      <alignment vertical="center" wrapText="1"/>
    </xf>
    <xf numFmtId="0" fontId="38" fillId="0" borderId="5" xfId="0" applyFont="1" applyBorder="1" applyAlignment="1">
      <alignment vertical="center" wrapText="1"/>
    </xf>
    <xf numFmtId="4" fontId="41" fillId="0" borderId="5" xfId="0" applyNumberFormat="1" applyFont="1" applyBorder="1" applyAlignment="1">
      <alignment horizontal="right" vertical="center" wrapText="1"/>
    </xf>
    <xf numFmtId="0" fontId="39" fillId="0" borderId="5" xfId="0" applyFont="1" applyBorder="1" applyAlignment="1">
      <alignment vertical="center" wrapText="1"/>
    </xf>
    <xf numFmtId="4" fontId="42" fillId="0" borderId="5" xfId="0" applyNumberFormat="1" applyFont="1" applyBorder="1" applyAlignment="1">
      <alignment horizontal="right" vertical="center" wrapText="1"/>
    </xf>
    <xf numFmtId="0" fontId="39" fillId="0" borderId="5" xfId="0" applyFont="1" applyBorder="1" applyAlignment="1">
      <alignment vertical="center"/>
    </xf>
    <xf numFmtId="0" fontId="42" fillId="0" borderId="5" xfId="0" applyFont="1" applyBorder="1" applyAlignment="1">
      <alignment horizontal="right" vertical="center"/>
    </xf>
    <xf numFmtId="4" fontId="42" fillId="0" borderId="5" xfId="0" applyNumberFormat="1" applyFont="1" applyBorder="1" applyAlignment="1">
      <alignment horizontal="right" vertical="center"/>
    </xf>
    <xf numFmtId="0" fontId="43" fillId="0" borderId="0" xfId="0" applyFont="1" applyAlignment="1">
      <alignment horizontal="right" vertical="center"/>
    </xf>
    <xf numFmtId="0" fontId="29" fillId="0" borderId="0" xfId="0" applyFont="1" applyAlignment="1">
      <alignment wrapText="1"/>
    </xf>
    <xf numFmtId="0" fontId="29" fillId="0" borderId="5" xfId="0" applyFont="1" applyBorder="1" applyAlignment="1">
      <alignment wrapText="1"/>
    </xf>
    <xf numFmtId="0" fontId="28" fillId="0" borderId="5" xfId="0" applyFont="1" applyBorder="1" applyAlignment="1">
      <alignment wrapText="1"/>
    </xf>
    <xf numFmtId="0" fontId="39" fillId="0" borderId="4" xfId="0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right" vertical="center" wrapText="1"/>
    </xf>
    <xf numFmtId="0" fontId="38" fillId="0" borderId="0" xfId="0" applyFont="1" applyAlignment="1">
      <alignment horizontal="right" vertical="center" wrapText="1"/>
    </xf>
    <xf numFmtId="4" fontId="38" fillId="0" borderId="5" xfId="0" applyNumberFormat="1" applyFont="1" applyBorder="1" applyAlignment="1">
      <alignment horizontal="right" vertical="center" wrapText="1"/>
    </xf>
    <xf numFmtId="0" fontId="38" fillId="0" borderId="5" xfId="0" applyFont="1" applyBorder="1" applyAlignment="1">
      <alignment horizontal="right" vertical="center" wrapText="1"/>
    </xf>
    <xf numFmtId="4" fontId="39" fillId="0" borderId="5" xfId="0" applyNumberFormat="1" applyFont="1" applyBorder="1" applyAlignment="1">
      <alignment horizontal="right" vertical="center" wrapText="1"/>
    </xf>
    <xf numFmtId="164" fontId="39" fillId="0" borderId="5" xfId="6" applyFont="1" applyBorder="1" applyAlignment="1">
      <alignment horizontal="right" vertical="center" wrapText="1"/>
    </xf>
    <xf numFmtId="0" fontId="40" fillId="0" borderId="4" xfId="0" applyFont="1" applyBorder="1" applyAlignment="1">
      <alignment horizontal="center" vertical="center" wrapText="1"/>
    </xf>
    <xf numFmtId="164" fontId="44" fillId="0" borderId="0" xfId="6" applyFont="1"/>
    <xf numFmtId="0" fontId="45" fillId="0" borderId="0" xfId="0" applyFont="1" applyAlignment="1">
      <alignment horizontal="justify" vertical="center" wrapText="1"/>
    </xf>
    <xf numFmtId="4" fontId="40" fillId="0" borderId="0" xfId="0" applyNumberFormat="1" applyFont="1" applyAlignment="1">
      <alignment horizontal="right" vertical="center" wrapText="1"/>
    </xf>
    <xf numFmtId="4" fontId="26" fillId="2" borderId="0" xfId="0" applyNumberFormat="1" applyFont="1" applyFill="1"/>
    <xf numFmtId="0" fontId="45" fillId="0" borderId="5" xfId="0" applyFont="1" applyBorder="1" applyAlignment="1">
      <alignment horizontal="justify" vertical="center" wrapText="1"/>
    </xf>
    <xf numFmtId="0" fontId="45" fillId="0" borderId="5" xfId="0" applyFont="1" applyBorder="1" applyAlignment="1">
      <alignment vertical="center" wrapText="1"/>
    </xf>
    <xf numFmtId="0" fontId="45" fillId="0" borderId="0" xfId="0" applyFont="1" applyAlignment="1">
      <alignment vertical="center" wrapText="1"/>
    </xf>
    <xf numFmtId="4" fontId="45" fillId="0" borderId="0" xfId="0" applyNumberFormat="1" applyFont="1" applyAlignment="1">
      <alignment horizontal="right" vertical="center" wrapText="1"/>
    </xf>
    <xf numFmtId="0" fontId="40" fillId="0" borderId="4" xfId="0" applyFont="1" applyBorder="1" applyAlignment="1">
      <alignment horizontal="justify" vertical="center" wrapText="1"/>
    </xf>
    <xf numFmtId="4" fontId="40" fillId="0" borderId="4" xfId="0" applyNumberFormat="1" applyFont="1" applyBorder="1" applyAlignment="1">
      <alignment horizontal="right" vertical="center" wrapText="1"/>
    </xf>
    <xf numFmtId="0" fontId="40" fillId="0" borderId="0" xfId="0" applyFont="1" applyAlignment="1">
      <alignment horizontal="center" vertical="center" wrapText="1"/>
    </xf>
    <xf numFmtId="4" fontId="45" fillId="0" borderId="5" xfId="0" applyNumberFormat="1" applyFont="1" applyBorder="1" applyAlignment="1">
      <alignment horizontal="right" vertical="center" wrapText="1"/>
    </xf>
    <xf numFmtId="0" fontId="45" fillId="0" borderId="5" xfId="0" applyFont="1" applyBorder="1" applyAlignment="1">
      <alignment horizontal="right" vertical="center" wrapText="1"/>
    </xf>
    <xf numFmtId="0" fontId="40" fillId="0" borderId="5" xfId="0" applyFont="1" applyBorder="1" applyAlignment="1">
      <alignment horizontal="justify" vertical="center" wrapText="1"/>
    </xf>
    <xf numFmtId="4" fontId="40" fillId="0" borderId="5" xfId="0" applyNumberFormat="1" applyFont="1" applyBorder="1" applyAlignment="1">
      <alignment horizontal="right" vertical="center" wrapText="1"/>
    </xf>
    <xf numFmtId="0" fontId="40" fillId="0" borderId="5" xfId="0" applyFont="1" applyBorder="1" applyAlignment="1">
      <alignment horizontal="right" vertical="center" wrapText="1"/>
    </xf>
    <xf numFmtId="0" fontId="42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4" fontId="41" fillId="0" borderId="0" xfId="0" applyNumberFormat="1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0" fontId="41" fillId="0" borderId="5" xfId="0" applyFont="1" applyBorder="1" applyAlignment="1">
      <alignment vertical="center"/>
    </xf>
    <xf numFmtId="0" fontId="41" fillId="0" borderId="5" xfId="0" applyFont="1" applyBorder="1" applyAlignment="1">
      <alignment horizontal="right" vertical="center"/>
    </xf>
    <xf numFmtId="4" fontId="41" fillId="0" borderId="5" xfId="0" applyNumberFormat="1" applyFont="1" applyBorder="1" applyAlignment="1">
      <alignment horizontal="right" vertical="center"/>
    </xf>
    <xf numFmtId="0" fontId="42" fillId="0" borderId="5" xfId="0" applyFont="1" applyBorder="1" applyAlignment="1">
      <alignment vertical="center"/>
    </xf>
    <xf numFmtId="164" fontId="33" fillId="0" borderId="0" xfId="0" applyNumberFormat="1" applyFont="1" applyProtection="1">
      <protection locked="0"/>
    </xf>
    <xf numFmtId="10" fontId="0" fillId="0" borderId="0" xfId="68" applyNumberFormat="1" applyFont="1"/>
    <xf numFmtId="0" fontId="21" fillId="0" borderId="4" xfId="0" applyFont="1" applyBorder="1" applyAlignment="1">
      <alignment horizontal="justify" vertical="center" wrapText="1"/>
    </xf>
    <xf numFmtId="0" fontId="21" fillId="0" borderId="5" xfId="0" applyFont="1" applyBorder="1" applyAlignment="1">
      <alignment vertical="center"/>
    </xf>
    <xf numFmtId="4" fontId="21" fillId="0" borderId="5" xfId="0" applyNumberFormat="1" applyFont="1" applyBorder="1" applyAlignment="1">
      <alignment horizontal="right" vertical="center"/>
    </xf>
    <xf numFmtId="164" fontId="35" fillId="0" borderId="0" xfId="6" applyFont="1"/>
    <xf numFmtId="0" fontId="17" fillId="0" borderId="5" xfId="0" applyFont="1" applyBorder="1" applyAlignment="1">
      <alignment vertical="center"/>
    </xf>
    <xf numFmtId="0" fontId="17" fillId="0" borderId="5" xfId="0" applyFont="1" applyBorder="1" applyAlignment="1">
      <alignment horizontal="right" vertical="center"/>
    </xf>
    <xf numFmtId="0" fontId="38" fillId="0" borderId="0" xfId="0" applyFont="1" applyAlignment="1">
      <alignment vertical="center"/>
    </xf>
    <xf numFmtId="0" fontId="38" fillId="0" borderId="5" xfId="0" applyFont="1" applyBorder="1" applyAlignment="1">
      <alignment vertical="center"/>
    </xf>
    <xf numFmtId="0" fontId="38" fillId="0" borderId="5" xfId="0" applyFont="1" applyBorder="1" applyAlignment="1">
      <alignment horizontal="right" vertical="center"/>
    </xf>
    <xf numFmtId="4" fontId="38" fillId="0" borderId="5" xfId="0" applyNumberFormat="1" applyFont="1" applyBorder="1" applyAlignment="1">
      <alignment horizontal="right" vertical="center"/>
    </xf>
    <xf numFmtId="164" fontId="26" fillId="2" borderId="0" xfId="6" applyFont="1" applyFill="1"/>
    <xf numFmtId="0" fontId="39" fillId="0" borderId="5" xfId="0" applyFont="1" applyBorder="1" applyAlignment="1">
      <alignment horizontal="right" vertical="center"/>
    </xf>
    <xf numFmtId="0" fontId="42" fillId="0" borderId="5" xfId="0" applyFont="1" applyBorder="1" applyAlignment="1">
      <alignment horizontal="center" vertical="center" wrapText="1"/>
    </xf>
    <xf numFmtId="0" fontId="41" fillId="0" borderId="0" xfId="0" applyFont="1" applyAlignment="1">
      <alignment horizontal="justify" vertical="center" wrapText="1"/>
    </xf>
    <xf numFmtId="0" fontId="41" fillId="0" borderId="0" xfId="0" applyFont="1" applyAlignment="1">
      <alignment horizontal="center" vertical="center" wrapText="1"/>
    </xf>
    <xf numFmtId="0" fontId="41" fillId="0" borderId="5" xfId="0" applyFont="1" applyBorder="1" applyAlignment="1">
      <alignment horizontal="justify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right" vertical="center" wrapText="1"/>
    </xf>
    <xf numFmtId="0" fontId="42" fillId="0" borderId="5" xfId="0" applyFont="1" applyBorder="1" applyAlignment="1">
      <alignment horizontal="justify" vertical="center" wrapText="1"/>
    </xf>
    <xf numFmtId="0" fontId="32" fillId="0" borderId="6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4" fontId="33" fillId="0" borderId="0" xfId="0" applyNumberFormat="1" applyFont="1" applyAlignment="1">
      <alignment horizontal="right" vertical="center"/>
    </xf>
    <xf numFmtId="0" fontId="33" fillId="0" borderId="5" xfId="0" applyFont="1" applyBorder="1" applyAlignment="1">
      <alignment vertical="center"/>
    </xf>
    <xf numFmtId="4" fontId="33" fillId="0" borderId="5" xfId="0" applyNumberFormat="1" applyFont="1" applyBorder="1" applyAlignment="1">
      <alignment horizontal="right" vertical="center"/>
    </xf>
    <xf numFmtId="0" fontId="32" fillId="0" borderId="5" xfId="0" applyFont="1" applyBorder="1" applyAlignment="1">
      <alignment vertical="center"/>
    </xf>
    <xf numFmtId="4" fontId="32" fillId="0" borderId="5" xfId="0" applyNumberFormat="1" applyFont="1" applyBorder="1" applyAlignment="1">
      <alignment horizontal="right" vertical="center"/>
    </xf>
    <xf numFmtId="0" fontId="42" fillId="0" borderId="4" xfId="0" applyFont="1" applyBorder="1" applyAlignment="1">
      <alignment horizontal="center" vertical="center" wrapText="1"/>
    </xf>
    <xf numFmtId="4" fontId="41" fillId="5" borderId="0" xfId="0" applyNumberFormat="1" applyFont="1" applyFill="1" applyAlignment="1">
      <alignment horizontal="right" vertical="center" wrapText="1"/>
    </xf>
    <xf numFmtId="0" fontId="0" fillId="5" borderId="0" xfId="0" applyFill="1"/>
    <xf numFmtId="0" fontId="41" fillId="0" borderId="5" xfId="0" applyFont="1" applyBorder="1" applyAlignment="1">
      <alignment vertical="center" wrapText="1"/>
    </xf>
    <xf numFmtId="4" fontId="41" fillId="5" borderId="5" xfId="0" applyNumberFormat="1" applyFont="1" applyFill="1" applyBorder="1" applyAlignment="1">
      <alignment horizontal="right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47" fillId="0" borderId="0" xfId="0" applyFont="1" applyAlignment="1">
      <alignment vertical="center" wrapText="1"/>
    </xf>
    <xf numFmtId="4" fontId="47" fillId="0" borderId="0" xfId="0" applyNumberFormat="1" applyFont="1" applyAlignment="1">
      <alignment horizontal="right" vertical="center" wrapText="1"/>
    </xf>
    <xf numFmtId="0" fontId="47" fillId="0" borderId="0" xfId="0" applyFont="1" applyAlignment="1">
      <alignment horizontal="right" vertical="center" wrapText="1"/>
    </xf>
    <xf numFmtId="0" fontId="47" fillId="0" borderId="5" xfId="0" applyFont="1" applyBorder="1" applyAlignment="1">
      <alignment vertical="center" wrapText="1"/>
    </xf>
    <xf numFmtId="4" fontId="47" fillId="0" borderId="5" xfId="0" applyNumberFormat="1" applyFont="1" applyBorder="1" applyAlignment="1">
      <alignment horizontal="right" vertical="center" wrapText="1"/>
    </xf>
    <xf numFmtId="0" fontId="47" fillId="0" borderId="5" xfId="0" applyFont="1" applyBorder="1" applyAlignment="1">
      <alignment horizontal="right" vertical="center" wrapText="1"/>
    </xf>
    <xf numFmtId="0" fontId="46" fillId="0" borderId="5" xfId="0" applyFont="1" applyBorder="1" applyAlignment="1">
      <alignment horizontal="justify" vertical="center" wrapText="1"/>
    </xf>
    <xf numFmtId="4" fontId="46" fillId="0" borderId="5" xfId="0" applyNumberFormat="1" applyFont="1" applyBorder="1" applyAlignment="1">
      <alignment horizontal="right" vertical="center" wrapText="1"/>
    </xf>
    <xf numFmtId="0" fontId="46" fillId="0" borderId="5" xfId="0" applyFont="1" applyBorder="1" applyAlignment="1">
      <alignment horizontal="right" vertical="center" wrapText="1"/>
    </xf>
    <xf numFmtId="164" fontId="14" fillId="0" borderId="0" xfId="1" applyNumberFormat="1" applyFont="1" applyAlignment="1">
      <alignment horizontal="left" vertical="top"/>
    </xf>
    <xf numFmtId="0" fontId="46" fillId="0" borderId="4" xfId="0" applyFont="1" applyBorder="1" applyAlignment="1">
      <alignment horizontal="center" vertical="center" wrapText="1"/>
    </xf>
    <xf numFmtId="0" fontId="47" fillId="0" borderId="0" xfId="0" applyFont="1" applyAlignment="1">
      <alignment horizontal="justify" vertical="center" wrapText="1"/>
    </xf>
    <xf numFmtId="3" fontId="17" fillId="0" borderId="0" xfId="0" applyNumberFormat="1" applyFont="1" applyAlignment="1">
      <alignment horizontal="right" vertical="center" wrapText="1"/>
    </xf>
    <xf numFmtId="3" fontId="17" fillId="0" borderId="5" xfId="0" applyNumberFormat="1" applyFont="1" applyBorder="1" applyAlignment="1">
      <alignment horizontal="right" vertical="center" wrapText="1"/>
    </xf>
    <xf numFmtId="3" fontId="21" fillId="0" borderId="5" xfId="0" applyNumberFormat="1" applyFont="1" applyBorder="1" applyAlignment="1">
      <alignment horizontal="right" vertical="center" wrapText="1"/>
    </xf>
    <xf numFmtId="0" fontId="28" fillId="0" borderId="6" xfId="0" applyFont="1" applyBorder="1" applyAlignment="1">
      <alignment horizontal="center" vertical="center" wrapText="1"/>
    </xf>
    <xf numFmtId="3" fontId="0" fillId="0" borderId="0" xfId="0" applyNumberFormat="1"/>
    <xf numFmtId="0" fontId="29" fillId="0" borderId="0" xfId="0" applyFont="1" applyAlignment="1">
      <alignment horizontal="justify" vertical="center" wrapText="1"/>
    </xf>
    <xf numFmtId="3" fontId="29" fillId="0" borderId="0" xfId="0" applyNumberFormat="1" applyFont="1" applyAlignment="1">
      <alignment horizontal="right" vertical="center" wrapText="1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4" fontId="21" fillId="0" borderId="4" xfId="0" applyNumberFormat="1" applyFont="1" applyBorder="1" applyAlignment="1">
      <alignment horizontal="right" vertical="center"/>
    </xf>
    <xf numFmtId="165" fontId="14" fillId="0" borderId="0" xfId="1" applyNumberFormat="1" applyFont="1" applyAlignment="1">
      <alignment horizontal="left" vertical="top" wrapText="1"/>
    </xf>
    <xf numFmtId="0" fontId="21" fillId="0" borderId="12" xfId="0" applyFont="1" applyBorder="1" applyAlignment="1">
      <alignment horizontal="center" vertical="center" wrapText="1"/>
    </xf>
    <xf numFmtId="4" fontId="17" fillId="0" borderId="0" xfId="0" applyNumberFormat="1" applyFont="1" applyAlignment="1">
      <alignment horizontal="right" vertical="center" wrapText="1" indent="5"/>
    </xf>
    <xf numFmtId="0" fontId="4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 indent="3"/>
    </xf>
    <xf numFmtId="0" fontId="50" fillId="0" borderId="8" xfId="0" applyFont="1" applyBorder="1" applyAlignment="1">
      <alignment vertical="center" wrapText="1"/>
    </xf>
    <xf numFmtId="0" fontId="51" fillId="0" borderId="9" xfId="0" applyFont="1" applyBorder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4" fontId="48" fillId="0" borderId="0" xfId="0" applyNumberFormat="1" applyFont="1" applyAlignment="1">
      <alignment horizontal="right" vertical="center" wrapText="1"/>
    </xf>
    <xf numFmtId="0" fontId="50" fillId="0" borderId="0" xfId="0" applyFont="1" applyAlignment="1">
      <alignment horizontal="right" vertical="center" wrapText="1"/>
    </xf>
    <xf numFmtId="0" fontId="48" fillId="0" borderId="0" xfId="0" applyFont="1" applyAlignment="1">
      <alignment horizontal="right" vertical="center" wrapText="1"/>
    </xf>
    <xf numFmtId="0" fontId="51" fillId="0" borderId="7" xfId="0" applyFont="1" applyBorder="1" applyAlignment="1">
      <alignment vertical="center" wrapText="1"/>
    </xf>
    <xf numFmtId="4" fontId="48" fillId="0" borderId="7" xfId="0" applyNumberFormat="1" applyFont="1" applyBorder="1" applyAlignment="1">
      <alignment horizontal="right" vertical="center" wrapText="1"/>
    </xf>
    <xf numFmtId="0" fontId="48" fillId="0" borderId="7" xfId="0" applyFont="1" applyBorder="1" applyAlignment="1">
      <alignment horizontal="right" vertical="center" wrapText="1"/>
    </xf>
    <xf numFmtId="0" fontId="51" fillId="0" borderId="10" xfId="0" applyFont="1" applyBorder="1" applyAlignment="1">
      <alignment vertical="center" wrapText="1"/>
    </xf>
    <xf numFmtId="4" fontId="51" fillId="0" borderId="10" xfId="0" applyNumberFormat="1" applyFont="1" applyBorder="1" applyAlignment="1">
      <alignment horizontal="right" vertical="center" wrapText="1"/>
    </xf>
    <xf numFmtId="0" fontId="29" fillId="0" borderId="0" xfId="0" applyFont="1" applyAlignment="1">
      <alignment vertical="center"/>
    </xf>
    <xf numFmtId="0" fontId="45" fillId="0" borderId="13" xfId="0" applyFont="1" applyBorder="1" applyAlignment="1">
      <alignment horizontal="justify" vertical="center" wrapText="1"/>
    </xf>
    <xf numFmtId="4" fontId="32" fillId="0" borderId="0" xfId="0" applyNumberFormat="1" applyFont="1" applyAlignment="1">
      <alignment horizontal="right" vertical="center" wrapText="1"/>
    </xf>
    <xf numFmtId="0" fontId="45" fillId="0" borderId="15" xfId="0" applyFont="1" applyBorder="1" applyAlignment="1">
      <alignment horizontal="justify" vertical="center" wrapText="1"/>
    </xf>
    <xf numFmtId="4" fontId="33" fillId="0" borderId="16" xfId="0" applyNumberFormat="1" applyFont="1" applyBorder="1" applyAlignment="1">
      <alignment horizontal="right" vertical="center" wrapText="1"/>
    </xf>
    <xf numFmtId="4" fontId="32" fillId="0" borderId="14" xfId="0" applyNumberFormat="1" applyFont="1" applyBorder="1" applyAlignment="1">
      <alignment horizontal="right" vertical="center" wrapText="1"/>
    </xf>
    <xf numFmtId="4" fontId="33" fillId="0" borderId="14" xfId="0" applyNumberFormat="1" applyFont="1" applyBorder="1" applyAlignment="1">
      <alignment horizontal="right" vertical="center" wrapText="1"/>
    </xf>
    <xf numFmtId="0" fontId="49" fillId="0" borderId="0" xfId="0" applyFont="1" applyAlignment="1">
      <alignment vertical="center"/>
    </xf>
    <xf numFmtId="4" fontId="45" fillId="0" borderId="14" xfId="0" applyNumberFormat="1" applyFont="1" applyBorder="1" applyAlignment="1">
      <alignment horizontal="right" vertical="center" wrapText="1"/>
    </xf>
    <xf numFmtId="165" fontId="20" fillId="0" borderId="1" xfId="2" applyNumberFormat="1" applyFont="1" applyFill="1" applyBorder="1" applyAlignment="1" applyProtection="1">
      <alignment vertical="top"/>
    </xf>
    <xf numFmtId="0" fontId="13" fillId="0" borderId="2" xfId="1" applyFont="1" applyBorder="1" applyAlignment="1">
      <alignment horizontal="center" vertical="top" wrapText="1"/>
    </xf>
    <xf numFmtId="0" fontId="13" fillId="0" borderId="2" xfId="2" applyNumberFormat="1" applyFont="1" applyFill="1" applyBorder="1" applyAlignment="1" applyProtection="1">
      <alignment horizontal="center" vertical="top" wrapText="1"/>
    </xf>
    <xf numFmtId="164" fontId="14" fillId="0" borderId="0" xfId="2" applyFont="1" applyFill="1" applyBorder="1" applyAlignment="1" applyProtection="1">
      <alignment vertical="top"/>
    </xf>
    <xf numFmtId="164" fontId="15" fillId="0" borderId="0" xfId="2" applyFont="1" applyFill="1" applyBorder="1" applyAlignment="1" applyProtection="1">
      <alignment horizontal="center" vertical="top"/>
      <protection locked="0"/>
    </xf>
    <xf numFmtId="164" fontId="14" fillId="0" borderId="0" xfId="2" applyFont="1" applyFill="1" applyBorder="1" applyAlignment="1" applyProtection="1">
      <alignment vertical="top"/>
      <protection locked="0"/>
    </xf>
    <xf numFmtId="164" fontId="13" fillId="0" borderId="1" xfId="2" applyFont="1" applyFill="1" applyBorder="1" applyAlignment="1" applyProtection="1">
      <alignment vertical="top"/>
    </xf>
    <xf numFmtId="164" fontId="13" fillId="0" borderId="2" xfId="2" applyFont="1" applyFill="1" applyBorder="1" applyAlignment="1" applyProtection="1">
      <alignment vertical="top"/>
    </xf>
    <xf numFmtId="164" fontId="13" fillId="0" borderId="1" xfId="2" applyFont="1" applyFill="1" applyBorder="1" applyAlignment="1" applyProtection="1">
      <alignment vertical="top"/>
      <protection locked="0"/>
    </xf>
    <xf numFmtId="164" fontId="13" fillId="0" borderId="1" xfId="6" applyFont="1" applyFill="1" applyBorder="1" applyAlignment="1" applyProtection="1">
      <alignment vertical="top"/>
    </xf>
    <xf numFmtId="164" fontId="13" fillId="0" borderId="0" xfId="6" applyFont="1" applyFill="1" applyBorder="1" applyAlignment="1" applyProtection="1">
      <alignment vertical="top"/>
    </xf>
    <xf numFmtId="166" fontId="14" fillId="0" borderId="0" xfId="6" applyNumberFormat="1" applyFont="1" applyFill="1" applyBorder="1" applyAlignment="1" applyProtection="1">
      <alignment vertical="top"/>
    </xf>
    <xf numFmtId="164" fontId="14" fillId="0" borderId="0" xfId="1" applyNumberFormat="1" applyFont="1" applyAlignment="1">
      <alignment horizontal="left" vertical="top" wrapText="1" indent="1"/>
    </xf>
    <xf numFmtId="165" fontId="14" fillId="0" borderId="0" xfId="1" applyNumberFormat="1" applyFont="1" applyAlignment="1">
      <alignment horizontal="center" vertical="top"/>
    </xf>
    <xf numFmtId="165" fontId="14" fillId="0" borderId="0" xfId="1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164" fontId="53" fillId="0" borderId="0" xfId="1" applyNumberFormat="1" applyFont="1" applyAlignment="1">
      <alignment horizontal="justify" vertical="top" wrapText="1"/>
    </xf>
    <xf numFmtId="164" fontId="52" fillId="0" borderId="0" xfId="1" applyNumberFormat="1" applyFont="1" applyAlignment="1">
      <alignment vertical="top"/>
    </xf>
    <xf numFmtId="165" fontId="52" fillId="0" borderId="0" xfId="1" applyNumberFormat="1" applyFont="1" applyAlignment="1">
      <alignment vertical="top"/>
    </xf>
    <xf numFmtId="164" fontId="22" fillId="0" borderId="0" xfId="1" applyNumberFormat="1" applyFont="1" applyAlignment="1">
      <alignment horizontal="center" vertical="top"/>
    </xf>
    <xf numFmtId="164" fontId="22" fillId="0" borderId="0" xfId="1" applyNumberFormat="1" applyFont="1" applyAlignment="1">
      <alignment vertical="top"/>
    </xf>
    <xf numFmtId="164" fontId="20" fillId="0" borderId="0" xfId="1" applyNumberFormat="1" applyFont="1" applyAlignment="1">
      <alignment vertical="top"/>
    </xf>
    <xf numFmtId="0" fontId="20" fillId="0" borderId="2" xfId="1" applyFont="1" applyBorder="1" applyAlignment="1">
      <alignment horizontal="center" vertical="top" wrapText="1"/>
    </xf>
    <xf numFmtId="164" fontId="20" fillId="0" borderId="1" xfId="6" applyFont="1" applyFill="1" applyBorder="1" applyAlignment="1" applyProtection="1">
      <alignment vertical="top"/>
    </xf>
    <xf numFmtId="164" fontId="20" fillId="0" borderId="0" xfId="6" applyFont="1" applyFill="1" applyBorder="1" applyAlignment="1" applyProtection="1">
      <alignment vertical="top"/>
    </xf>
    <xf numFmtId="167" fontId="22" fillId="0" borderId="0" xfId="6" applyNumberFormat="1" applyFont="1" applyFill="1" applyBorder="1" applyAlignment="1" applyProtection="1">
      <alignment vertical="top"/>
    </xf>
    <xf numFmtId="166" fontId="22" fillId="0" borderId="0" xfId="6" applyNumberFormat="1" applyFont="1" applyFill="1" applyBorder="1" applyAlignment="1" applyProtection="1">
      <alignment vertical="top"/>
    </xf>
    <xf numFmtId="0" fontId="22" fillId="0" borderId="0" xfId="1" applyFont="1" applyAlignment="1">
      <alignment vertical="top"/>
    </xf>
    <xf numFmtId="164" fontId="22" fillId="0" borderId="0" xfId="1" applyNumberFormat="1" applyFont="1" applyAlignment="1">
      <alignment horizontal="left" vertical="top"/>
    </xf>
    <xf numFmtId="164" fontId="20" fillId="0" borderId="0" xfId="1" applyNumberFormat="1" applyFont="1" applyAlignment="1">
      <alignment horizontal="left" vertical="top"/>
    </xf>
    <xf numFmtId="164" fontId="22" fillId="0" borderId="0" xfId="1" applyNumberFormat="1" applyFont="1" applyAlignment="1">
      <alignment horizontal="left" vertical="top" wrapText="1" indent="1"/>
    </xf>
    <xf numFmtId="0" fontId="17" fillId="0" borderId="2" xfId="0" applyFont="1" applyBorder="1"/>
    <xf numFmtId="49" fontId="17" fillId="0" borderId="2" xfId="0" applyNumberFormat="1" applyFont="1" applyBorder="1"/>
    <xf numFmtId="164" fontId="17" fillId="0" borderId="2" xfId="6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164" fontId="17" fillId="0" borderId="2" xfId="0" applyNumberFormat="1" applyFont="1" applyBorder="1"/>
    <xf numFmtId="49" fontId="21" fillId="0" borderId="1" xfId="0" applyNumberFormat="1" applyFont="1" applyBorder="1"/>
    <xf numFmtId="0" fontId="21" fillId="0" borderId="1" xfId="0" applyFont="1" applyBorder="1"/>
    <xf numFmtId="164" fontId="21" fillId="0" borderId="1" xfId="6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64" fontId="21" fillId="0" borderId="1" xfId="0" applyNumberFormat="1" applyFont="1" applyBorder="1"/>
    <xf numFmtId="164" fontId="14" fillId="0" borderId="0" xfId="1" applyNumberFormat="1" applyFont="1" applyAlignment="1">
      <alignment horizontal="center" vertical="top"/>
    </xf>
    <xf numFmtId="164" fontId="13" fillId="0" borderId="0" xfId="1" applyNumberFormat="1" applyFont="1" applyAlignment="1">
      <alignment horizontal="left" vertical="top" wrapText="1"/>
    </xf>
    <xf numFmtId="0" fontId="14" fillId="0" borderId="0" xfId="1" applyFont="1" applyAlignment="1">
      <alignment horizontal="center" vertical="top" wrapText="1"/>
    </xf>
    <xf numFmtId="164" fontId="14" fillId="0" borderId="0" xfId="1" applyNumberFormat="1" applyFont="1" applyAlignment="1">
      <alignment horizontal="left" vertical="top" wrapText="1"/>
    </xf>
    <xf numFmtId="164" fontId="52" fillId="0" borderId="0" xfId="1" applyNumberFormat="1" applyFont="1" applyAlignment="1">
      <alignment horizontal="left" vertical="top"/>
    </xf>
    <xf numFmtId="164" fontId="13" fillId="0" borderId="0" xfId="1" applyNumberFormat="1" applyFont="1" applyAlignment="1">
      <alignment horizontal="center" vertical="top"/>
    </xf>
    <xf numFmtId="164" fontId="14" fillId="0" borderId="0" xfId="1" applyNumberFormat="1" applyFont="1" applyAlignment="1">
      <alignment horizontal="center" vertical="top"/>
    </xf>
    <xf numFmtId="164" fontId="15" fillId="0" borderId="0" xfId="1" applyNumberFormat="1" applyFont="1" applyAlignment="1">
      <alignment horizontal="center" vertical="top"/>
    </xf>
    <xf numFmtId="164" fontId="16" fillId="0" borderId="0" xfId="1" applyNumberFormat="1" applyFont="1" applyAlignment="1">
      <alignment horizontal="left" vertical="top" wrapText="1"/>
    </xf>
    <xf numFmtId="164" fontId="13" fillId="0" borderId="0" xfId="1" applyNumberFormat="1" applyFont="1" applyAlignment="1">
      <alignment horizontal="left" vertical="top"/>
    </xf>
    <xf numFmtId="165" fontId="13" fillId="0" borderId="0" xfId="1" applyNumberFormat="1" applyFont="1" applyAlignment="1">
      <alignment horizontal="center" vertical="top"/>
    </xf>
    <xf numFmtId="165" fontId="14" fillId="0" borderId="0" xfId="1" applyNumberFormat="1" applyFont="1" applyAlignment="1">
      <alignment horizontal="center" vertical="top"/>
    </xf>
    <xf numFmtId="165" fontId="15" fillId="0" borderId="0" xfId="1" applyNumberFormat="1" applyFont="1" applyAlignment="1">
      <alignment horizontal="center" vertical="top"/>
    </xf>
    <xf numFmtId="165" fontId="13" fillId="0" borderId="0" xfId="1" applyNumberFormat="1" applyFont="1" applyAlignment="1">
      <alignment horizontal="left" vertical="top" wrapText="1"/>
    </xf>
    <xf numFmtId="165" fontId="14" fillId="0" borderId="0" xfId="1" applyNumberFormat="1" applyFont="1" applyAlignment="1">
      <alignment horizontal="left" vertical="top" wrapText="1"/>
    </xf>
    <xf numFmtId="164" fontId="20" fillId="0" borderId="0" xfId="1" applyNumberFormat="1" applyFont="1" applyAlignment="1">
      <alignment horizontal="left" vertical="top" wrapText="1"/>
    </xf>
    <xf numFmtId="164" fontId="20" fillId="0" borderId="0" xfId="1" applyNumberFormat="1" applyFont="1" applyAlignment="1">
      <alignment horizontal="center" vertical="top"/>
    </xf>
    <xf numFmtId="164" fontId="22" fillId="0" borderId="0" xfId="1" applyNumberFormat="1" applyFont="1" applyAlignment="1">
      <alignment horizontal="center" vertical="top"/>
    </xf>
    <xf numFmtId="164" fontId="23" fillId="0" borderId="0" xfId="1" applyNumberFormat="1" applyFont="1" applyAlignment="1">
      <alignment horizontal="center" vertical="top"/>
    </xf>
    <xf numFmtId="164" fontId="22" fillId="0" borderId="0" xfId="1" applyNumberFormat="1" applyFont="1" applyAlignment="1">
      <alignment horizontal="left" vertical="top" wrapText="1"/>
    </xf>
    <xf numFmtId="164" fontId="24" fillId="0" borderId="0" xfId="1" applyNumberFormat="1" applyFont="1" applyAlignment="1">
      <alignment horizontal="left" vertical="top" wrapText="1"/>
    </xf>
    <xf numFmtId="164" fontId="17" fillId="0" borderId="0" xfId="39" applyNumberFormat="1" applyFont="1" applyAlignment="1">
      <alignment horizontal="center"/>
    </xf>
    <xf numFmtId="164" fontId="21" fillId="0" borderId="0" xfId="39" applyNumberFormat="1" applyFont="1" applyAlignment="1">
      <alignment horizontal="center"/>
    </xf>
    <xf numFmtId="164" fontId="21" fillId="0" borderId="3" xfId="39" applyNumberFormat="1" applyFont="1" applyBorder="1" applyAlignment="1">
      <alignment horizontal="center" vertical="center" wrapText="1"/>
    </xf>
    <xf numFmtId="164" fontId="21" fillId="0" borderId="2" xfId="39" applyNumberFormat="1" applyFont="1" applyBorder="1" applyAlignment="1">
      <alignment horizontal="center" vertical="center" wrapText="1"/>
    </xf>
    <xf numFmtId="164" fontId="21" fillId="0" borderId="3" xfId="6" applyFont="1" applyFill="1" applyBorder="1" applyAlignment="1">
      <alignment horizontal="center" vertical="center"/>
    </xf>
    <xf numFmtId="164" fontId="21" fillId="0" borderId="3" xfId="6" applyFont="1" applyFill="1" applyBorder="1" applyAlignment="1">
      <alignment horizontal="center" vertical="center" wrapText="1"/>
    </xf>
    <xf numFmtId="164" fontId="21" fillId="0" borderId="2" xfId="6" applyFont="1" applyFill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justify" vertical="center"/>
    </xf>
    <xf numFmtId="4" fontId="17" fillId="0" borderId="0" xfId="0" applyNumberFormat="1" applyFont="1" applyAlignment="1">
      <alignment horizontal="right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 indent="2"/>
    </xf>
    <xf numFmtId="0" fontId="17" fillId="0" borderId="5" xfId="0" applyFont="1" applyBorder="1" applyAlignment="1">
      <alignment horizontal="left" vertical="center" wrapText="1" indent="2"/>
    </xf>
    <xf numFmtId="0" fontId="17" fillId="0" borderId="11" xfId="0" applyFont="1" applyBorder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21" fillId="0" borderId="11" xfId="0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1" fillId="0" borderId="1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justify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wrapText="1"/>
    </xf>
    <xf numFmtId="0" fontId="40" fillId="0" borderId="6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38" fillId="0" borderId="4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42" fillId="0" borderId="5" xfId="0" applyFont="1" applyBorder="1" applyAlignment="1">
      <alignment horizontal="center" vertical="center" wrapText="1"/>
    </xf>
  </cellXfs>
  <cellStyles count="74">
    <cellStyle name="Comma" xfId="6" builtinId="3"/>
    <cellStyle name="Comma 10" xfId="12" xr:uid="{00000000-0005-0000-0000-000001000000}"/>
    <cellStyle name="Comma 10 2" xfId="69" xr:uid="{00000000-0005-0000-0000-000002000000}"/>
    <cellStyle name="Comma 10 3" xfId="70" xr:uid="{00000000-0005-0000-0000-000003000000}"/>
    <cellStyle name="Comma 11" xfId="13" xr:uid="{00000000-0005-0000-0000-000004000000}"/>
    <cellStyle name="Comma 11 2" xfId="14" xr:uid="{00000000-0005-0000-0000-000005000000}"/>
    <cellStyle name="Comma 12" xfId="15" xr:uid="{00000000-0005-0000-0000-000006000000}"/>
    <cellStyle name="Comma 13" xfId="16" xr:uid="{00000000-0005-0000-0000-000007000000}"/>
    <cellStyle name="Comma 14" xfId="8" xr:uid="{00000000-0005-0000-0000-000008000000}"/>
    <cellStyle name="Comma 2" xfId="10" xr:uid="{00000000-0005-0000-0000-000009000000}"/>
    <cellStyle name="Comma 2 10" xfId="9" xr:uid="{00000000-0005-0000-0000-00000A000000}"/>
    <cellStyle name="Comma 2 10 2" xfId="3" xr:uid="{00000000-0005-0000-0000-00000B000000}"/>
    <cellStyle name="Comma 2 2" xfId="11" xr:uid="{00000000-0005-0000-0000-00000C000000}"/>
    <cellStyle name="Comma 2 2 2" xfId="17" xr:uid="{00000000-0005-0000-0000-00000D000000}"/>
    <cellStyle name="Comma 2 3" xfId="18" xr:uid="{00000000-0005-0000-0000-00000E000000}"/>
    <cellStyle name="Comma 2 4" xfId="19" xr:uid="{00000000-0005-0000-0000-00000F000000}"/>
    <cellStyle name="Comma 2 4 2" xfId="20" xr:uid="{00000000-0005-0000-0000-000010000000}"/>
    <cellStyle name="Comma 2 5" xfId="21" xr:uid="{00000000-0005-0000-0000-000011000000}"/>
    <cellStyle name="Comma 2 6" xfId="22" xr:uid="{00000000-0005-0000-0000-000012000000}"/>
    <cellStyle name="Comma 2 7" xfId="23" xr:uid="{00000000-0005-0000-0000-000013000000}"/>
    <cellStyle name="Comma 2 8" xfId="24" xr:uid="{00000000-0005-0000-0000-000014000000}"/>
    <cellStyle name="Comma 2 9" xfId="25" xr:uid="{00000000-0005-0000-0000-000015000000}"/>
    <cellStyle name="Comma 3" xfId="26" xr:uid="{00000000-0005-0000-0000-000016000000}"/>
    <cellStyle name="Comma 3 2" xfId="27" xr:uid="{00000000-0005-0000-0000-000017000000}"/>
    <cellStyle name="Comma 4" xfId="28" xr:uid="{00000000-0005-0000-0000-000018000000}"/>
    <cellStyle name="Comma 5" xfId="2" xr:uid="{00000000-0005-0000-0000-000019000000}"/>
    <cellStyle name="Comma 6" xfId="29" xr:uid="{00000000-0005-0000-0000-00001A000000}"/>
    <cellStyle name="Comma 7" xfId="30" xr:uid="{00000000-0005-0000-0000-00001B000000}"/>
    <cellStyle name="Comma 8" xfId="31" xr:uid="{00000000-0005-0000-0000-00001C000000}"/>
    <cellStyle name="Comma 8 2" xfId="72" xr:uid="{00000000-0005-0000-0000-00001D000000}"/>
    <cellStyle name="Comma 8 2 3 2" xfId="73" xr:uid="{00000000-0005-0000-0000-00001E000000}"/>
    <cellStyle name="Comma 9" xfId="32" xr:uid="{00000000-0005-0000-0000-00001F000000}"/>
    <cellStyle name="Hyperlink 2" xfId="33" xr:uid="{00000000-0005-0000-0000-000020000000}"/>
    <cellStyle name="Normal" xfId="0" builtinId="0"/>
    <cellStyle name="Normal 10" xfId="1" xr:uid="{00000000-0005-0000-0000-000022000000}"/>
    <cellStyle name="Normal 11" xfId="34" xr:uid="{00000000-0005-0000-0000-000023000000}"/>
    <cellStyle name="Normal 12" xfId="35" xr:uid="{00000000-0005-0000-0000-000024000000}"/>
    <cellStyle name="Normal 13" xfId="67" xr:uid="{00000000-0005-0000-0000-000025000000}"/>
    <cellStyle name="Normal 2" xfId="4" xr:uid="{00000000-0005-0000-0000-000026000000}"/>
    <cellStyle name="Normal 2 2" xfId="36" xr:uid="{00000000-0005-0000-0000-000027000000}"/>
    <cellStyle name="Normal 2 2 2" xfId="37" xr:uid="{00000000-0005-0000-0000-000028000000}"/>
    <cellStyle name="Normal 2 2 2 2" xfId="38" xr:uid="{00000000-0005-0000-0000-000029000000}"/>
    <cellStyle name="Normal 2 2 3" xfId="39" xr:uid="{00000000-0005-0000-0000-00002A000000}"/>
    <cellStyle name="Normal 2 3" xfId="40" xr:uid="{00000000-0005-0000-0000-00002B000000}"/>
    <cellStyle name="Normal 2 3 2" xfId="5" xr:uid="{00000000-0005-0000-0000-00002C000000}"/>
    <cellStyle name="Normal 2 4" xfId="41" xr:uid="{00000000-0005-0000-0000-00002D000000}"/>
    <cellStyle name="Normal 2 5" xfId="42" xr:uid="{00000000-0005-0000-0000-00002E000000}"/>
    <cellStyle name="Normal 2 6" xfId="43" xr:uid="{00000000-0005-0000-0000-00002F000000}"/>
    <cellStyle name="Normal 2 7" xfId="44" xr:uid="{00000000-0005-0000-0000-000030000000}"/>
    <cellStyle name="Normal 2 8" xfId="71" xr:uid="{00000000-0005-0000-0000-000031000000}"/>
    <cellStyle name="Normal 2 9" xfId="45" xr:uid="{00000000-0005-0000-0000-000032000000}"/>
    <cellStyle name="Normal 2_251" xfId="46" xr:uid="{00000000-0005-0000-0000-000033000000}"/>
    <cellStyle name="Normal 3" xfId="47" xr:uid="{00000000-0005-0000-0000-000034000000}"/>
    <cellStyle name="Normal 3 2" xfId="48" xr:uid="{00000000-0005-0000-0000-000035000000}"/>
    <cellStyle name="Normal 3 2 2" xfId="49" xr:uid="{00000000-0005-0000-0000-000036000000}"/>
    <cellStyle name="Normal 3 3" xfId="50" xr:uid="{00000000-0005-0000-0000-000037000000}"/>
    <cellStyle name="Normal 4" xfId="7" xr:uid="{00000000-0005-0000-0000-000038000000}"/>
    <cellStyle name="Normal 4 2" xfId="51" xr:uid="{00000000-0005-0000-0000-000039000000}"/>
    <cellStyle name="Normal 4 2 2" xfId="52" xr:uid="{00000000-0005-0000-0000-00003A000000}"/>
    <cellStyle name="Normal 4 3" xfId="53" xr:uid="{00000000-0005-0000-0000-00003B000000}"/>
    <cellStyle name="Normal 4 4" xfId="54" xr:uid="{00000000-0005-0000-0000-00003C000000}"/>
    <cellStyle name="Normal 4 5" xfId="55" xr:uid="{00000000-0005-0000-0000-00003D000000}"/>
    <cellStyle name="Normal 4 6" xfId="56" xr:uid="{00000000-0005-0000-0000-00003E000000}"/>
    <cellStyle name="Normal 4 6 2" xfId="57" xr:uid="{00000000-0005-0000-0000-00003F000000}"/>
    <cellStyle name="Normal 4 7" xfId="58" xr:uid="{00000000-0005-0000-0000-000040000000}"/>
    <cellStyle name="Normal 4_251" xfId="59" xr:uid="{00000000-0005-0000-0000-000041000000}"/>
    <cellStyle name="Normal 5" xfId="60" xr:uid="{00000000-0005-0000-0000-000042000000}"/>
    <cellStyle name="Normal 5 2" xfId="61" xr:uid="{00000000-0005-0000-0000-000043000000}"/>
    <cellStyle name="Normal 6" xfId="62" xr:uid="{00000000-0005-0000-0000-000044000000}"/>
    <cellStyle name="Normal 7" xfId="63" xr:uid="{00000000-0005-0000-0000-000045000000}"/>
    <cellStyle name="Normal 7 2" xfId="64" xr:uid="{00000000-0005-0000-0000-000046000000}"/>
    <cellStyle name="Normal 8" xfId="65" xr:uid="{00000000-0005-0000-0000-000047000000}"/>
    <cellStyle name="Normal 9" xfId="66" xr:uid="{00000000-0005-0000-0000-000048000000}"/>
    <cellStyle name="Percent" xfId="68" builtinId="5"/>
  </cellStyles>
  <dxfs count="13"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sica%20Anino\Desktop\Manila-2022-Review\Manila%20City%202022%20AAR_2nd%20draft\11-ManilaCity2022-Part4-Annexes_05112023.xlsx" TargetMode="External"/><Relationship Id="rId1" Type="http://schemas.openxmlformats.org/officeDocument/2006/relationships/externalLinkPath" Target="file:///C:\Users\Jessica%20Anino\Desktop\Manila-2022-Review\Manila%20City%202022%20AAR_2nd%20draft\11-ManilaCity2022-Part4-Annexes_0511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aMANILA\AAR\City%20of%20Manila%20AAR%202022\RO%20review\07-ManilaCity2022_Part1-Financial_Statements_v1.xlsx" TargetMode="External"/><Relationship Id="rId1" Type="http://schemas.openxmlformats.org/officeDocument/2006/relationships/externalLinkPath" Target="file:///F:\aaMANILA\AAR\City%20of%20Manila%20AAR%202022\RO%20review\07-ManilaCity2022_Part1-Financial_Statements_v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aMANILA\AAR\City%20of%20Manila%20AAR%202022\RO%20review\07-ManilaCity2022_Part1-Financial_Statements_v1%20-%20Copy.xlsx" TargetMode="External"/><Relationship Id="rId1" Type="http://schemas.openxmlformats.org/officeDocument/2006/relationships/externalLinkPath" Target="file:///F:\aaMANILA\AAR\City%20of%20Manila%20AAR%202022\RO%20review\07-ManilaCity2022_Part1-Financial_Statements_v1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nex A - SFPo"/>
      <sheetName val="Annex B - SFPe"/>
      <sheetName val="Annex C - SCNAE"/>
      <sheetName val="Annex D - SCF"/>
      <sheetName val="SCBAA-GF"/>
      <sheetName val="SCBAA-SEF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1">
          <cell r="G31">
            <v>0</v>
          </cell>
          <cell r="H31">
            <v>392290000</v>
          </cell>
          <cell r="J31">
            <v>0</v>
          </cell>
        </row>
      </sheetData>
      <sheetData sheetId="5">
        <row r="29">
          <cell r="G29">
            <v>116546510</v>
          </cell>
          <cell r="H29">
            <v>206446510</v>
          </cell>
          <cell r="J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FPo"/>
      <sheetName val="SFPe"/>
      <sheetName val="SCNAE"/>
      <sheetName val="SCF"/>
      <sheetName val="SCBAA"/>
      <sheetName val="NFS"/>
      <sheetName val="PPE"/>
      <sheetName val="Recon_BAA-FP"/>
      <sheetName val="Restatement"/>
      <sheetName val="ExecSum"/>
      <sheetName val="Part2"/>
    </sheetNames>
    <sheetDataSet>
      <sheetData sheetId="0">
        <row r="22">
          <cell r="D22">
            <v>73694401449.639999</v>
          </cell>
          <cell r="E22">
            <v>66405910427.969658</v>
          </cell>
        </row>
        <row r="37">
          <cell r="D37">
            <v>26765129719.870003</v>
          </cell>
          <cell r="E37">
            <v>21960624079.689682</v>
          </cell>
        </row>
        <row r="40">
          <cell r="D40">
            <v>46929271729.769997</v>
          </cell>
          <cell r="E40">
            <v>44445286348.279999</v>
          </cell>
        </row>
      </sheetData>
      <sheetData sheetId="1">
        <row r="8">
          <cell r="D8">
            <v>13046462540.809999</v>
          </cell>
        </row>
        <row r="9">
          <cell r="D9">
            <v>4602952487</v>
          </cell>
        </row>
        <row r="10">
          <cell r="D10">
            <v>1637476082.79</v>
          </cell>
        </row>
        <row r="11">
          <cell r="D11">
            <v>217442602.38999999</v>
          </cell>
        </row>
        <row r="12">
          <cell r="D12">
            <v>4921062.93</v>
          </cell>
        </row>
        <row r="13">
          <cell r="D13">
            <v>182297445.56999999</v>
          </cell>
        </row>
        <row r="14">
          <cell r="D14">
            <v>19691552221.489998</v>
          </cell>
          <cell r="E14">
            <v>27137919982.939995</v>
          </cell>
        </row>
        <row r="21">
          <cell r="D21">
            <v>16047340904.579998</v>
          </cell>
          <cell r="E21">
            <v>22185034763.27</v>
          </cell>
        </row>
        <row r="25">
          <cell r="D25">
            <v>28178905.449999999</v>
          </cell>
          <cell r="E25">
            <v>0</v>
          </cell>
        </row>
        <row r="26">
          <cell r="D26">
            <v>-582382035.72000003</v>
          </cell>
          <cell r="E26">
            <v>-447200735</v>
          </cell>
        </row>
        <row r="27">
          <cell r="D27">
            <v>-606022805.14999998</v>
          </cell>
          <cell r="E27">
            <v>-133747135.27999999</v>
          </cell>
        </row>
      </sheetData>
      <sheetData sheetId="2" refreshError="1"/>
      <sheetData sheetId="3" refreshError="1"/>
      <sheetData sheetId="4">
        <row r="58">
          <cell r="H58">
            <v>26040437283.550003</v>
          </cell>
          <cell r="J58">
            <v>20506127301.880005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FPo"/>
      <sheetName val="SFPe"/>
      <sheetName val="SCNAE"/>
      <sheetName val="SCF"/>
      <sheetName val="SCBAA"/>
      <sheetName val="NFS"/>
      <sheetName val="PPE"/>
      <sheetName val="Recon_BAA-FP"/>
      <sheetName val="Restatement"/>
      <sheetName val="ExecSum"/>
      <sheetName val="Part2"/>
    </sheetNames>
    <sheetDataSet>
      <sheetData sheetId="0">
        <row r="12">
          <cell r="D12">
            <v>1327476316.2799997</v>
          </cell>
        </row>
        <row r="14">
          <cell r="D14">
            <v>33050765281.729996</v>
          </cell>
        </row>
      </sheetData>
      <sheetData sheetId="1" refreshError="1"/>
      <sheetData sheetId="2" refreshError="1"/>
      <sheetData sheetId="3" refreshError="1"/>
      <sheetData sheetId="4">
        <row r="26">
          <cell r="H26">
            <v>27445928043</v>
          </cell>
        </row>
      </sheetData>
      <sheetData sheetId="5">
        <row r="58">
          <cell r="C58">
            <v>11388071632.27</v>
          </cell>
          <cell r="D58">
            <v>8858945073.9500008</v>
          </cell>
        </row>
        <row r="59">
          <cell r="C59">
            <v>5940901605.4300003</v>
          </cell>
          <cell r="D59">
            <v>5783663307.7299995</v>
          </cell>
        </row>
        <row r="267">
          <cell r="C267">
            <v>5078414488.6300001</v>
          </cell>
          <cell r="D267">
            <v>7651696443.3400002</v>
          </cell>
        </row>
        <row r="314">
          <cell r="C314">
            <v>427193827.17000002</v>
          </cell>
          <cell r="D314">
            <v>566598151.98000002</v>
          </cell>
        </row>
        <row r="315">
          <cell r="C315">
            <v>67921778.670000002</v>
          </cell>
          <cell r="D315">
            <v>107681185.29000001</v>
          </cell>
        </row>
        <row r="316">
          <cell r="C316">
            <v>17054734.75</v>
          </cell>
          <cell r="D316">
            <v>25417463.84</v>
          </cell>
        </row>
        <row r="317">
          <cell r="C317">
            <v>36922498.509999998</v>
          </cell>
          <cell r="D317">
            <v>31706334.690000001</v>
          </cell>
        </row>
        <row r="359">
          <cell r="C359">
            <v>3085912625.6900001</v>
          </cell>
          <cell r="D359">
            <v>2180293901.6399999</v>
          </cell>
        </row>
        <row r="360">
          <cell r="C360">
            <v>1705201767.53</v>
          </cell>
          <cell r="D360">
            <v>725914794.02999997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showGridLines="0" tabSelected="1" topLeftCell="B1" zoomScaleNormal="100" zoomScaleSheetLayoutView="83" workbookViewId="0">
      <selection sqref="A1:E1"/>
    </sheetView>
  </sheetViews>
  <sheetFormatPr defaultColWidth="11.44140625" defaultRowHeight="13.8"/>
  <cols>
    <col min="1" max="1" width="3.33203125" style="2" hidden="1" customWidth="1"/>
    <col min="2" max="2" width="33.44140625" style="23" customWidth="1"/>
    <col min="3" max="3" width="6.21875" style="24" customWidth="1"/>
    <col min="4" max="5" width="19.77734375" style="9" customWidth="1"/>
    <col min="6" max="16384" width="11.44140625" style="1"/>
  </cols>
  <sheetData>
    <row r="1" spans="1:5">
      <c r="A1" s="407" t="s">
        <v>0</v>
      </c>
      <c r="B1" s="407"/>
      <c r="C1" s="407"/>
      <c r="D1" s="407"/>
      <c r="E1" s="407"/>
    </row>
    <row r="2" spans="1:5">
      <c r="A2" s="407" t="s">
        <v>109</v>
      </c>
      <c r="B2" s="407"/>
      <c r="C2" s="407"/>
      <c r="D2" s="407"/>
      <c r="E2" s="407"/>
    </row>
    <row r="3" spans="1:5">
      <c r="A3" s="408" t="s">
        <v>138</v>
      </c>
      <c r="B3" s="408"/>
      <c r="C3" s="408"/>
      <c r="D3" s="408"/>
      <c r="E3" s="408"/>
    </row>
    <row r="4" spans="1:5">
      <c r="A4" s="402"/>
      <c r="B4" s="408" t="s">
        <v>899</v>
      </c>
      <c r="C4" s="408"/>
      <c r="D4" s="408"/>
      <c r="E4" s="408"/>
    </row>
    <row r="5" spans="1:5" ht="14.4">
      <c r="A5" s="409" t="s">
        <v>141</v>
      </c>
      <c r="B5" s="409"/>
      <c r="C5" s="409"/>
      <c r="D5" s="409"/>
      <c r="E5" s="409"/>
    </row>
    <row r="6" spans="1:5" ht="14.25" customHeight="1">
      <c r="A6" s="25"/>
      <c r="B6" s="3"/>
      <c r="C6" s="4"/>
      <c r="D6" s="5"/>
      <c r="E6" s="5"/>
    </row>
    <row r="7" spans="1:5" s="6" customFormat="1">
      <c r="A7" s="407"/>
      <c r="B7" s="407"/>
      <c r="C7" s="4" t="s">
        <v>1</v>
      </c>
      <c r="D7" s="362">
        <v>2022</v>
      </c>
      <c r="E7" s="363">
        <v>2021</v>
      </c>
    </row>
    <row r="8" spans="1:5" ht="14.4">
      <c r="A8" s="403" t="s">
        <v>2</v>
      </c>
      <c r="B8" s="403"/>
      <c r="C8" s="8"/>
      <c r="D8" s="364"/>
      <c r="E8" s="365"/>
    </row>
    <row r="9" spans="1:5">
      <c r="A9" s="25"/>
      <c r="B9" s="10" t="s">
        <v>3</v>
      </c>
      <c r="C9" s="8"/>
      <c r="D9" s="364"/>
      <c r="E9" s="366"/>
    </row>
    <row r="10" spans="1:5">
      <c r="A10" s="25"/>
      <c r="B10" s="3" t="s">
        <v>4</v>
      </c>
      <c r="C10" s="11">
        <v>4</v>
      </c>
      <c r="D10" s="14">
        <v>8325730232.4599991</v>
      </c>
      <c r="E10" s="15">
        <v>10852325069.129656</v>
      </c>
    </row>
    <row r="11" spans="1:5">
      <c r="A11" s="25"/>
      <c r="B11" s="3" t="s">
        <v>5</v>
      </c>
      <c r="C11" s="11">
        <v>5</v>
      </c>
      <c r="D11" s="14">
        <v>1429078656.95</v>
      </c>
      <c r="E11" s="15">
        <v>1423914449.9099998</v>
      </c>
    </row>
    <row r="12" spans="1:5">
      <c r="A12" s="25"/>
      <c r="B12" s="3" t="s">
        <v>6</v>
      </c>
      <c r="C12" s="12">
        <v>6</v>
      </c>
      <c r="D12" s="14">
        <v>19859356666.119999</v>
      </c>
      <c r="E12" s="15">
        <v>17723236103.259998</v>
      </c>
    </row>
    <row r="13" spans="1:5">
      <c r="A13" s="25"/>
      <c r="B13" s="3" t="s">
        <v>7</v>
      </c>
      <c r="C13" s="11">
        <v>7</v>
      </c>
      <c r="D13" s="14">
        <v>1327476316.2799997</v>
      </c>
      <c r="E13" s="15">
        <v>702841112.9000001</v>
      </c>
    </row>
    <row r="14" spans="1:5" ht="15.75" customHeight="1">
      <c r="A14" s="25"/>
      <c r="B14" s="13" t="s">
        <v>8</v>
      </c>
      <c r="C14" s="11">
        <v>8</v>
      </c>
      <c r="D14" s="14">
        <v>2109123409.9199998</v>
      </c>
      <c r="E14" s="15">
        <v>1375976264.6399999</v>
      </c>
    </row>
    <row r="15" spans="1:5">
      <c r="A15" s="25"/>
      <c r="B15" s="16" t="s">
        <v>9</v>
      </c>
      <c r="C15" s="17"/>
      <c r="D15" s="367">
        <f>SUM(D10:D14)</f>
        <v>33050765281.729996</v>
      </c>
      <c r="E15" s="367">
        <f>SUM(E10:E14)</f>
        <v>32078292999.839653</v>
      </c>
    </row>
    <row r="16" spans="1:5" ht="11.25" customHeight="1">
      <c r="A16" s="25"/>
      <c r="B16" s="3"/>
      <c r="C16" s="8"/>
      <c r="D16" s="364"/>
      <c r="E16" s="366"/>
    </row>
    <row r="17" spans="1:5">
      <c r="A17" s="25"/>
      <c r="B17" s="10" t="s">
        <v>10</v>
      </c>
      <c r="C17" s="8"/>
      <c r="D17" s="364"/>
      <c r="E17" s="366"/>
    </row>
    <row r="18" spans="1:5">
      <c r="A18" s="25"/>
      <c r="B18" s="3" t="s">
        <v>11</v>
      </c>
      <c r="C18" s="11">
        <v>9</v>
      </c>
      <c r="D18" s="14">
        <v>248912041.84999999</v>
      </c>
      <c r="E18" s="14">
        <v>248912041.84999999</v>
      </c>
    </row>
    <row r="19" spans="1:5">
      <c r="A19" s="25"/>
      <c r="B19" s="3" t="s">
        <v>12</v>
      </c>
      <c r="C19" s="18">
        <v>10</v>
      </c>
      <c r="D19" s="14">
        <v>40103500794.060005</v>
      </c>
      <c r="E19" s="14">
        <v>33947131386.280006</v>
      </c>
    </row>
    <row r="20" spans="1:5">
      <c r="A20" s="25"/>
      <c r="B20" s="3" t="s">
        <v>125</v>
      </c>
      <c r="C20" s="18">
        <v>11</v>
      </c>
      <c r="D20" s="14">
        <v>291223332</v>
      </c>
      <c r="E20" s="14">
        <v>131574000</v>
      </c>
    </row>
    <row r="21" spans="1:5">
      <c r="A21" s="25"/>
      <c r="B21" s="16" t="s">
        <v>13</v>
      </c>
      <c r="C21" s="17"/>
      <c r="D21" s="367">
        <v>40643636167.910004</v>
      </c>
      <c r="E21" s="367">
        <v>34327617428.130005</v>
      </c>
    </row>
    <row r="22" spans="1:5" ht="11.25" customHeight="1">
      <c r="A22" s="25"/>
      <c r="B22" s="3"/>
      <c r="C22" s="4"/>
      <c r="D22" s="364"/>
      <c r="E22" s="366"/>
    </row>
    <row r="23" spans="1:5">
      <c r="A23" s="403" t="s">
        <v>14</v>
      </c>
      <c r="B23" s="403"/>
      <c r="C23" s="17"/>
      <c r="D23" s="368">
        <f>+D15+D21</f>
        <v>73694401449.639999</v>
      </c>
      <c r="E23" s="368">
        <f>+E15+E21</f>
        <v>66405910427.969658</v>
      </c>
    </row>
    <row r="24" spans="1:5" ht="11.25" customHeight="1">
      <c r="A24" s="25"/>
      <c r="B24" s="3"/>
      <c r="C24" s="11"/>
      <c r="D24" s="364"/>
      <c r="E24" s="366"/>
    </row>
    <row r="25" spans="1:5">
      <c r="A25" s="403" t="s">
        <v>15</v>
      </c>
      <c r="B25" s="403"/>
      <c r="C25" s="11"/>
      <c r="D25" s="364"/>
      <c r="E25" s="366"/>
    </row>
    <row r="26" spans="1:5">
      <c r="A26" s="25"/>
      <c r="B26" s="10" t="s">
        <v>16</v>
      </c>
      <c r="C26" s="11"/>
      <c r="D26" s="364"/>
      <c r="E26" s="366"/>
    </row>
    <row r="27" spans="1:5">
      <c r="A27" s="25"/>
      <c r="B27" s="3" t="s">
        <v>17</v>
      </c>
      <c r="C27" s="11">
        <v>12</v>
      </c>
      <c r="D27" s="14">
        <v>5738145583.9500017</v>
      </c>
      <c r="E27" s="14">
        <v>7913749986.8495665</v>
      </c>
    </row>
    <row r="28" spans="1:5">
      <c r="A28" s="25"/>
      <c r="B28" s="3" t="s">
        <v>18</v>
      </c>
      <c r="C28" s="11">
        <v>13</v>
      </c>
      <c r="D28" s="14">
        <v>2184213525.3999996</v>
      </c>
      <c r="E28" s="14">
        <v>1805944940.1001258</v>
      </c>
    </row>
    <row r="29" spans="1:5">
      <c r="A29" s="25"/>
      <c r="B29" s="19" t="s">
        <v>21</v>
      </c>
      <c r="C29" s="11">
        <v>14</v>
      </c>
      <c r="D29" s="14">
        <v>1595570122.1700003</v>
      </c>
      <c r="E29" s="14">
        <v>1169067518.3900006</v>
      </c>
    </row>
    <row r="30" spans="1:5">
      <c r="A30" s="25"/>
      <c r="B30" s="16" t="s">
        <v>19</v>
      </c>
      <c r="C30" s="17"/>
      <c r="D30" s="367">
        <f>SUM(D27:D29)</f>
        <v>9517929231.5200024</v>
      </c>
      <c r="E30" s="367">
        <f>SUM(E27:E29)</f>
        <v>10888762445.339693</v>
      </c>
    </row>
    <row r="31" spans="1:5" ht="11.25" customHeight="1">
      <c r="A31" s="25"/>
      <c r="B31" s="3"/>
      <c r="C31" s="11"/>
      <c r="D31" s="364"/>
      <c r="E31" s="366"/>
    </row>
    <row r="32" spans="1:5">
      <c r="A32" s="25"/>
      <c r="B32" s="10" t="s">
        <v>20</v>
      </c>
      <c r="C32" s="11"/>
      <c r="D32" s="364"/>
      <c r="E32" s="366"/>
    </row>
    <row r="33" spans="1:5" ht="15.6" customHeight="1">
      <c r="A33" s="25"/>
      <c r="B33" s="3" t="s">
        <v>127</v>
      </c>
      <c r="C33" s="11">
        <v>12</v>
      </c>
      <c r="D33" s="14">
        <v>10164061991.99</v>
      </c>
      <c r="E33" s="14">
        <v>3758646841.5999999</v>
      </c>
    </row>
    <row r="34" spans="1:5">
      <c r="A34" s="25"/>
      <c r="B34" s="322" t="s">
        <v>22</v>
      </c>
      <c r="C34" s="11">
        <v>15</v>
      </c>
      <c r="D34" s="14">
        <v>6026020880.5</v>
      </c>
      <c r="E34" s="14">
        <v>5156198735.6300001</v>
      </c>
    </row>
    <row r="35" spans="1:5" ht="16.5" customHeight="1">
      <c r="A35" s="25"/>
      <c r="B35" s="3" t="s">
        <v>23</v>
      </c>
      <c r="C35" s="11">
        <v>16</v>
      </c>
      <c r="D35" s="14">
        <v>1057117615.8600001</v>
      </c>
      <c r="E35" s="14">
        <v>2157016057.1199894</v>
      </c>
    </row>
    <row r="36" spans="1:5">
      <c r="A36" s="25"/>
      <c r="B36" s="16" t="s">
        <v>24</v>
      </c>
      <c r="C36" s="17"/>
      <c r="D36" s="367">
        <f>SUM(D33:D35)</f>
        <v>17247200488.349998</v>
      </c>
      <c r="E36" s="367">
        <f>SUM(E33:E35)</f>
        <v>11071861634.349989</v>
      </c>
    </row>
    <row r="37" spans="1:5" ht="11.25" customHeight="1">
      <c r="A37" s="25"/>
      <c r="B37" s="16"/>
      <c r="C37" s="17"/>
      <c r="D37" s="367"/>
      <c r="E37" s="369"/>
    </row>
    <row r="38" spans="1:5" ht="15" customHeight="1">
      <c r="A38" s="403" t="s">
        <v>25</v>
      </c>
      <c r="B38" s="403"/>
      <c r="C38" s="17"/>
      <c r="D38" s="367">
        <f>+D30+D36</f>
        <v>26765129719.870003</v>
      </c>
      <c r="E38" s="367">
        <f>+E30+E36</f>
        <v>21960624079.689682</v>
      </c>
    </row>
    <row r="39" spans="1:5" ht="11.25" customHeight="1">
      <c r="A39" s="25"/>
      <c r="B39" s="16"/>
      <c r="C39" s="404"/>
      <c r="D39" s="364"/>
      <c r="E39" s="366"/>
    </row>
    <row r="40" spans="1:5" ht="15" customHeight="1">
      <c r="A40" s="403" t="s">
        <v>26</v>
      </c>
      <c r="B40" s="403"/>
      <c r="C40" s="404"/>
      <c r="D40" s="364"/>
      <c r="E40" s="366"/>
    </row>
    <row r="41" spans="1:5" ht="15" customHeight="1">
      <c r="A41" s="405" t="s">
        <v>27</v>
      </c>
      <c r="B41" s="405"/>
      <c r="C41" s="11"/>
      <c r="D41" s="367">
        <v>46929271729.769997</v>
      </c>
      <c r="E41" s="367">
        <v>44445286348.279999</v>
      </c>
    </row>
    <row r="42" spans="1:5" ht="11.25" customHeight="1">
      <c r="A42" s="25"/>
      <c r="B42" s="3"/>
      <c r="C42" s="4"/>
      <c r="D42" s="364"/>
      <c r="E42" s="366"/>
    </row>
    <row r="43" spans="1:5" ht="16.5" customHeight="1">
      <c r="A43" s="403" t="s">
        <v>28</v>
      </c>
      <c r="B43" s="403"/>
      <c r="C43" s="403"/>
      <c r="D43" s="368">
        <f>+D38+D41</f>
        <v>73694401449.639999</v>
      </c>
      <c r="E43" s="368">
        <f>+E38+E41</f>
        <v>66405910427.969681</v>
      </c>
    </row>
    <row r="44" spans="1:5">
      <c r="A44" s="406" t="s">
        <v>29</v>
      </c>
      <c r="B44" s="406"/>
      <c r="C44" s="406"/>
      <c r="D44" s="406"/>
      <c r="E44" s="406"/>
    </row>
    <row r="45" spans="1:5" ht="14.4">
      <c r="A45" s="20"/>
      <c r="B45" s="20"/>
      <c r="C45" s="21"/>
      <c r="D45" s="22">
        <v>0</v>
      </c>
      <c r="E45" s="22">
        <v>0</v>
      </c>
    </row>
    <row r="66" spans="4:4">
      <c r="D66" s="2"/>
    </row>
  </sheetData>
  <sheetProtection algorithmName="SHA-512" hashValue="AyJ8xk+EuV2pP2oyh3R/EMsfZ1BDSV1lS9ZsHX4JZVShxSxzz07G3zLzj6LrC3LeRDbCYw/ZvbLf6lwgZ9DJdA==" saltValue="ozv0KumaFEfu6zqxPTFMLA==" spinCount="100000" sheet="1" objects="1" scenarios="1" selectLockedCells="1" selectUnlockedCells="1"/>
  <mergeCells count="15">
    <mergeCell ref="A8:B8"/>
    <mergeCell ref="A23:B23"/>
    <mergeCell ref="A25:B25"/>
    <mergeCell ref="A7:B7"/>
    <mergeCell ref="A1:E1"/>
    <mergeCell ref="A2:E2"/>
    <mergeCell ref="A3:E3"/>
    <mergeCell ref="A5:E5"/>
    <mergeCell ref="B4:E4"/>
    <mergeCell ref="A40:B40"/>
    <mergeCell ref="C39:C40"/>
    <mergeCell ref="A38:B38"/>
    <mergeCell ref="A41:B41"/>
    <mergeCell ref="A44:E44"/>
    <mergeCell ref="A43:C43"/>
  </mergeCells>
  <pageMargins left="1.25" right="1" top="1" bottom="1" header="0.5" footer="0.5"/>
  <pageSetup firstPageNumber="5" orientation="portrait" useFirstPageNumber="1" r:id="rId1"/>
  <headerFooter scaleWithDoc="0" alignWithMargins="0">
    <oddFooter>&amp;C&amp;"Arial ,Regular"&amp;10&amp;P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zoomScaleNormal="100" zoomScaleSheetLayoutView="90" zoomScalePageLayoutView="93" workbookViewId="0">
      <selection sqref="A1:E1"/>
    </sheetView>
  </sheetViews>
  <sheetFormatPr defaultColWidth="11.44140625" defaultRowHeight="13.8"/>
  <cols>
    <col min="1" max="1" width="1.88671875" style="2" customWidth="1"/>
    <col min="2" max="2" width="37.6640625" style="23" customWidth="1"/>
    <col min="3" max="3" width="5.5546875" style="27" bestFit="1" customWidth="1"/>
    <col min="4" max="5" width="19.21875" style="28" bestFit="1" customWidth="1"/>
    <col min="6" max="16384" width="11.44140625" style="1"/>
  </cols>
  <sheetData>
    <row r="1" spans="1:5">
      <c r="A1" s="407" t="s">
        <v>0</v>
      </c>
      <c r="B1" s="407"/>
      <c r="C1" s="407"/>
      <c r="D1" s="407"/>
      <c r="E1" s="407"/>
    </row>
    <row r="2" spans="1:5">
      <c r="A2" s="407" t="s">
        <v>110</v>
      </c>
      <c r="B2" s="407"/>
      <c r="C2" s="407"/>
      <c r="D2" s="407"/>
      <c r="E2" s="407"/>
    </row>
    <row r="3" spans="1:5">
      <c r="A3" s="408" t="s">
        <v>139</v>
      </c>
      <c r="B3" s="408"/>
      <c r="C3" s="408"/>
      <c r="D3" s="408"/>
      <c r="E3" s="408"/>
    </row>
    <row r="4" spans="1:5">
      <c r="A4" s="408" t="s">
        <v>899</v>
      </c>
      <c r="B4" s="408"/>
      <c r="C4" s="408"/>
      <c r="D4" s="408"/>
      <c r="E4" s="408"/>
    </row>
    <row r="5" spans="1:5" ht="14.4">
      <c r="A5" s="409" t="s">
        <v>141</v>
      </c>
      <c r="B5" s="409"/>
      <c r="C5" s="409"/>
      <c r="D5" s="409"/>
      <c r="E5" s="409"/>
    </row>
    <row r="6" spans="1:5">
      <c r="A6" s="25"/>
      <c r="B6" s="3"/>
      <c r="C6" s="4"/>
      <c r="D6" s="29"/>
      <c r="E6" s="29"/>
    </row>
    <row r="7" spans="1:5" s="6" customFormat="1">
      <c r="A7" s="407"/>
      <c r="B7" s="407"/>
      <c r="C7" s="4" t="s">
        <v>1</v>
      </c>
      <c r="D7" s="362">
        <v>2022</v>
      </c>
      <c r="E7" s="363">
        <v>2021</v>
      </c>
    </row>
    <row r="8" spans="1:5">
      <c r="A8" s="410" t="s">
        <v>30</v>
      </c>
      <c r="B8" s="410"/>
      <c r="C8" s="11"/>
      <c r="D8" s="30"/>
      <c r="E8" s="30"/>
    </row>
    <row r="9" spans="1:5">
      <c r="A9" s="25"/>
      <c r="B9" s="13" t="s">
        <v>31</v>
      </c>
      <c r="C9" s="11">
        <v>17</v>
      </c>
      <c r="D9" s="30">
        <v>13046462540.809999</v>
      </c>
      <c r="E9" s="30">
        <v>20348275749.259998</v>
      </c>
    </row>
    <row r="10" spans="1:5" s="26" customFormat="1" ht="12.9" customHeight="1">
      <c r="A10" s="25"/>
      <c r="B10" s="13" t="s">
        <v>126</v>
      </c>
      <c r="C10" s="11">
        <v>18</v>
      </c>
      <c r="D10" s="30">
        <v>4602952487</v>
      </c>
      <c r="E10" s="30">
        <v>3763196569</v>
      </c>
    </row>
    <row r="11" spans="1:5">
      <c r="A11" s="25"/>
      <c r="B11" s="13" t="s">
        <v>32</v>
      </c>
      <c r="C11" s="11">
        <v>19</v>
      </c>
      <c r="D11" s="30">
        <v>1637476082.79</v>
      </c>
      <c r="E11" s="30">
        <v>1278102821.7999992</v>
      </c>
    </row>
    <row r="12" spans="1:5">
      <c r="A12" s="25"/>
      <c r="B12" s="13" t="s">
        <v>33</v>
      </c>
      <c r="C12" s="11">
        <v>20</v>
      </c>
      <c r="D12" s="30">
        <v>217442602.38999999</v>
      </c>
      <c r="E12" s="30">
        <v>330472512.69999999</v>
      </c>
    </row>
    <row r="13" spans="1:5">
      <c r="A13" s="25"/>
      <c r="B13" s="13" t="s">
        <v>120</v>
      </c>
      <c r="C13" s="11">
        <v>21</v>
      </c>
      <c r="D13" s="30">
        <v>4921062.93</v>
      </c>
      <c r="E13" s="30">
        <v>1401157654.1699996</v>
      </c>
    </row>
    <row r="14" spans="1:5">
      <c r="A14" s="25"/>
      <c r="B14" s="13" t="s">
        <v>34</v>
      </c>
      <c r="C14" s="11">
        <v>22</v>
      </c>
      <c r="D14" s="30">
        <v>182297445.56999999</v>
      </c>
      <c r="E14" s="30">
        <v>16714676.009999998</v>
      </c>
    </row>
    <row r="15" spans="1:5">
      <c r="A15" s="403" t="s">
        <v>35</v>
      </c>
      <c r="B15" s="403"/>
      <c r="C15" s="17"/>
      <c r="D15" s="370">
        <f>SUM(D9:D14)</f>
        <v>19691552221.489998</v>
      </c>
      <c r="E15" s="370">
        <f>SUM(E9:E14)</f>
        <v>27137919982.939995</v>
      </c>
    </row>
    <row r="16" spans="1:5">
      <c r="A16" s="25"/>
      <c r="B16" s="3"/>
      <c r="C16" s="11"/>
      <c r="D16" s="30"/>
      <c r="E16" s="30"/>
    </row>
    <row r="17" spans="1:5">
      <c r="A17" s="403" t="s">
        <v>36</v>
      </c>
      <c r="B17" s="403"/>
      <c r="C17" s="11"/>
      <c r="D17" s="30"/>
      <c r="E17" s="30"/>
    </row>
    <row r="18" spans="1:5">
      <c r="A18" s="25"/>
      <c r="B18" s="13" t="s">
        <v>37</v>
      </c>
      <c r="C18" s="11">
        <v>23</v>
      </c>
      <c r="D18" s="30">
        <v>5175191498.289999</v>
      </c>
      <c r="E18" s="30">
        <v>5128845025.8500004</v>
      </c>
    </row>
    <row r="19" spans="1:5">
      <c r="A19" s="25"/>
      <c r="B19" s="13" t="s">
        <v>891</v>
      </c>
      <c r="C19" s="11">
        <v>24</v>
      </c>
      <c r="D19" s="30">
        <v>9231570380.1999989</v>
      </c>
      <c r="E19" s="30">
        <v>15753608791.41</v>
      </c>
    </row>
    <row r="20" spans="1:5">
      <c r="A20" s="25"/>
      <c r="B20" s="373" t="s">
        <v>860</v>
      </c>
      <c r="C20" s="11"/>
      <c r="D20" s="30"/>
      <c r="E20" s="30"/>
    </row>
    <row r="21" spans="1:5">
      <c r="A21" s="25"/>
      <c r="B21" s="13" t="s">
        <v>39</v>
      </c>
      <c r="C21" s="11">
        <v>25</v>
      </c>
      <c r="D21" s="30">
        <v>180931014.44</v>
      </c>
      <c r="E21" s="30">
        <v>7571877.5900000036</v>
      </c>
    </row>
    <row r="22" spans="1:5">
      <c r="A22" s="25"/>
      <c r="B22" s="13" t="s">
        <v>40</v>
      </c>
      <c r="C22" s="11">
        <v>26</v>
      </c>
      <c r="D22" s="30">
        <v>1459648011.6500001</v>
      </c>
      <c r="E22" s="30">
        <v>1295009068.4199998</v>
      </c>
    </row>
    <row r="23" spans="1:5">
      <c r="A23" s="403" t="s">
        <v>41</v>
      </c>
      <c r="B23" s="403"/>
      <c r="C23" s="17"/>
      <c r="D23" s="370">
        <f>SUM(D18:D22)</f>
        <v>16047340904.579998</v>
      </c>
      <c r="E23" s="370">
        <v>22185034763.27</v>
      </c>
    </row>
    <row r="24" spans="1:5">
      <c r="A24" s="7"/>
      <c r="B24" s="7"/>
      <c r="C24" s="17"/>
      <c r="D24" s="371"/>
      <c r="E24" s="371"/>
    </row>
    <row r="25" spans="1:5">
      <c r="A25" s="411" t="s">
        <v>136</v>
      </c>
      <c r="B25" s="411"/>
      <c r="C25" s="17"/>
      <c r="D25" s="371">
        <f>D15-D23</f>
        <v>3644211316.9099998</v>
      </c>
      <c r="E25" s="371">
        <f>E15-E23</f>
        <v>4952885219.6699944</v>
      </c>
    </row>
    <row r="26" spans="1:5">
      <c r="A26" s="7"/>
      <c r="B26" s="7" t="s">
        <v>42</v>
      </c>
      <c r="C26" s="17"/>
      <c r="D26" s="371"/>
      <c r="E26" s="371"/>
    </row>
    <row r="27" spans="1:5" ht="12.9" customHeight="1">
      <c r="A27" s="7"/>
      <c r="B27" s="13" t="s">
        <v>722</v>
      </c>
      <c r="C27" s="11">
        <v>27</v>
      </c>
      <c r="D27" s="30">
        <v>28178905.449999999</v>
      </c>
      <c r="E27" s="30">
        <v>0</v>
      </c>
    </row>
    <row r="28" spans="1:5">
      <c r="A28" s="7"/>
      <c r="B28" s="13" t="s">
        <v>898</v>
      </c>
      <c r="C28" s="11">
        <v>28</v>
      </c>
      <c r="D28" s="30">
        <v>-1188404840.8699999</v>
      </c>
      <c r="E28" s="30">
        <v>-580947870.27999997</v>
      </c>
    </row>
    <row r="29" spans="1:5">
      <c r="A29" s="403" t="s">
        <v>108</v>
      </c>
      <c r="B29" s="403"/>
      <c r="C29" s="17"/>
      <c r="D29" s="370">
        <f>SUM(D25:D28)</f>
        <v>2483985381.4899998</v>
      </c>
      <c r="E29" s="370">
        <f>(SUM(E25:E28))</f>
        <v>4371937349.3899946</v>
      </c>
    </row>
    <row r="30" spans="1:5">
      <c r="A30" s="378" t="s">
        <v>29</v>
      </c>
      <c r="B30" s="377"/>
      <c r="C30" s="11"/>
      <c r="D30" s="30"/>
      <c r="E30" s="372"/>
    </row>
    <row r="31" spans="1:5">
      <c r="B31" s="2"/>
      <c r="C31" s="1"/>
      <c r="D31" s="2"/>
      <c r="E31" s="2"/>
    </row>
  </sheetData>
  <sheetProtection algorithmName="SHA-512" hashValue="wYkOcFi1b90jPrgxmIRevR9ua7ppt9NHhnckIWV+i8oSfcXdTQVI/Yx/cZTsecbPw14aVS4dtxI3inXCPk6Jsw==" saltValue="jBtKloGG76yNQhsa6prwmQ==" spinCount="100000" sheet="1" objects="1" scenarios="1" selectLockedCells="1" selectUnlockedCells="1"/>
  <mergeCells count="12">
    <mergeCell ref="A1:E1"/>
    <mergeCell ref="A2:E2"/>
    <mergeCell ref="A3:E3"/>
    <mergeCell ref="A5:E5"/>
    <mergeCell ref="A7:B7"/>
    <mergeCell ref="A4:E4"/>
    <mergeCell ref="A29:B29"/>
    <mergeCell ref="A8:B8"/>
    <mergeCell ref="A15:B15"/>
    <mergeCell ref="A17:B17"/>
    <mergeCell ref="A23:B23"/>
    <mergeCell ref="A25:B25"/>
  </mergeCells>
  <pageMargins left="1.07" right="1" top="1" bottom="1" header="0.5" footer="0.5"/>
  <pageSetup scale="95" firstPageNumber="6" orientation="portrait" useFirstPageNumber="1" r:id="rId1"/>
  <headerFooter scaleWithDoc="0" alignWithMargins="0">
    <oddFooter>&amp;C&amp;"Arial,Regular"&amp;10&amp;P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zoomScaleNormal="100" zoomScaleSheetLayoutView="115" workbookViewId="0">
      <selection sqref="A1:E1"/>
    </sheetView>
  </sheetViews>
  <sheetFormatPr defaultColWidth="11.44140625" defaultRowHeight="13.8"/>
  <cols>
    <col min="1" max="1" width="3.33203125" style="375" customWidth="1"/>
    <col min="2" max="2" width="30.44140625" style="374" customWidth="1"/>
    <col min="3" max="3" width="6.109375" style="70" bestFit="1" customWidth="1"/>
    <col min="4" max="5" width="19.44140625" style="70" customWidth="1"/>
    <col min="6" max="16384" width="11.44140625" style="26"/>
  </cols>
  <sheetData>
    <row r="1" spans="1:5">
      <c r="A1" s="412" t="s">
        <v>0</v>
      </c>
      <c r="B1" s="412"/>
      <c r="C1" s="412"/>
      <c r="D1" s="412"/>
      <c r="E1" s="412"/>
    </row>
    <row r="2" spans="1:5">
      <c r="A2" s="412" t="s">
        <v>111</v>
      </c>
      <c r="B2" s="412"/>
      <c r="C2" s="412"/>
      <c r="D2" s="412"/>
      <c r="E2" s="412"/>
    </row>
    <row r="3" spans="1:5">
      <c r="A3" s="413" t="s">
        <v>139</v>
      </c>
      <c r="B3" s="413"/>
      <c r="C3" s="413"/>
      <c r="D3" s="413"/>
      <c r="E3" s="413"/>
    </row>
    <row r="4" spans="1:5">
      <c r="A4" s="413" t="s">
        <v>899</v>
      </c>
      <c r="B4" s="413"/>
      <c r="C4" s="413"/>
      <c r="D4" s="413"/>
      <c r="E4" s="413"/>
    </row>
    <row r="5" spans="1:5" ht="14.4">
      <c r="A5" s="414" t="s">
        <v>140</v>
      </c>
      <c r="B5" s="414"/>
      <c r="C5" s="414"/>
      <c r="D5" s="414"/>
      <c r="E5" s="414"/>
    </row>
    <row r="6" spans="1:5">
      <c r="B6" s="61"/>
      <c r="C6" s="62"/>
      <c r="D6" s="62"/>
      <c r="E6" s="62"/>
    </row>
    <row r="7" spans="1:5">
      <c r="A7" s="376"/>
      <c r="B7" s="376"/>
      <c r="C7" s="62" t="s">
        <v>1</v>
      </c>
      <c r="D7" s="362">
        <v>2022</v>
      </c>
      <c r="E7" s="363">
        <v>2021</v>
      </c>
    </row>
    <row r="8" spans="1:5">
      <c r="A8" s="376" t="s">
        <v>114</v>
      </c>
      <c r="B8" s="61"/>
      <c r="C8" s="63"/>
      <c r="D8" s="64">
        <v>44445286348.279999</v>
      </c>
      <c r="E8" s="64">
        <v>40073348998.889999</v>
      </c>
    </row>
    <row r="9" spans="1:5">
      <c r="A9" s="375" t="s">
        <v>135</v>
      </c>
      <c r="B9" s="61"/>
      <c r="C9" s="65"/>
      <c r="D9" s="66">
        <v>0</v>
      </c>
      <c r="E9" s="67">
        <v>0</v>
      </c>
    </row>
    <row r="10" spans="1:5">
      <c r="A10" s="376" t="s">
        <v>124</v>
      </c>
      <c r="B10" s="61"/>
      <c r="C10" s="63"/>
      <c r="D10" s="68">
        <f>+D8+D9</f>
        <v>44445286348.279999</v>
      </c>
      <c r="E10" s="68">
        <f>+E8+E9</f>
        <v>40073348998.889999</v>
      </c>
    </row>
    <row r="11" spans="1:5" ht="15.75" customHeight="1">
      <c r="A11" s="415" t="s">
        <v>123</v>
      </c>
      <c r="B11" s="415"/>
      <c r="C11" s="415"/>
      <c r="D11" s="69"/>
    </row>
    <row r="12" spans="1:5">
      <c r="A12" s="416" t="s">
        <v>889</v>
      </c>
      <c r="B12" s="416"/>
      <c r="C12" s="65"/>
      <c r="D12" s="69">
        <v>0</v>
      </c>
      <c r="E12" s="69">
        <v>0</v>
      </c>
    </row>
    <row r="13" spans="1:5">
      <c r="A13" s="335"/>
      <c r="B13" s="335" t="s">
        <v>890</v>
      </c>
      <c r="C13" s="65"/>
      <c r="D13" s="69"/>
      <c r="E13" s="69"/>
    </row>
    <row r="14" spans="1:5" ht="15.75" customHeight="1">
      <c r="A14" s="416" t="s">
        <v>122</v>
      </c>
      <c r="B14" s="416"/>
      <c r="C14" s="71"/>
      <c r="D14" s="66">
        <v>2483985381.4899998</v>
      </c>
      <c r="E14" s="67">
        <v>4371937349.3900003</v>
      </c>
    </row>
    <row r="15" spans="1:5" ht="16.5" customHeight="1">
      <c r="A15" s="415" t="s">
        <v>115</v>
      </c>
      <c r="B15" s="415"/>
      <c r="C15" s="72"/>
      <c r="D15" s="361">
        <f>SUM(D10:D14)</f>
        <v>46929271729.769997</v>
      </c>
      <c r="E15" s="361">
        <f>SUM(E10:E14)</f>
        <v>44445286348.279999</v>
      </c>
    </row>
    <row r="16" spans="1:5">
      <c r="A16" s="379" t="s">
        <v>29</v>
      </c>
      <c r="B16" s="61"/>
      <c r="C16" s="63"/>
    </row>
    <row r="23" spans="2:5" ht="15" customHeight="1">
      <c r="B23" s="375"/>
      <c r="C23" s="375"/>
      <c r="D23" s="375"/>
      <c r="E23" s="375"/>
    </row>
  </sheetData>
  <sheetProtection algorithmName="SHA-512" hashValue="8GMtu4phWz8L0GmSTnJ9vtjaKy0VFWJyNW85KE0ZhWdBgwH8JlrR3ESFUhLTVVG/OXnl8Dh6HtZyVayIS+KsOg==" saltValue="I5MUnVfyJwTMiJS+4e6RRw==" spinCount="100000" sheet="1" objects="1" scenarios="1" selectLockedCells="1" selectUnlockedCells="1"/>
  <mergeCells count="9">
    <mergeCell ref="A1:E1"/>
    <mergeCell ref="A2:E2"/>
    <mergeCell ref="A3:E3"/>
    <mergeCell ref="A5:E5"/>
    <mergeCell ref="A15:B15"/>
    <mergeCell ref="A11:C11"/>
    <mergeCell ref="A12:B12"/>
    <mergeCell ref="A14:B14"/>
    <mergeCell ref="A4:E4"/>
  </mergeCells>
  <pageMargins left="1.25" right="1" top="1" bottom="1" header="0.5" footer="0.5"/>
  <pageSetup firstPageNumber="7" orientation="portrait" useFirstPageNumber="1" r:id="rId1"/>
  <headerFooter scaleWithDoc="0" alignWithMargins="0">
    <oddFooter>&amp;C&amp;"Arial,Regular"&amp;10&amp;P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"/>
  <sheetViews>
    <sheetView showGridLines="0" zoomScaleNormal="100" workbookViewId="0">
      <selection sqref="A1:E1"/>
    </sheetView>
  </sheetViews>
  <sheetFormatPr defaultColWidth="11.44140625" defaultRowHeight="13.8"/>
  <cols>
    <col min="1" max="1" width="1.88671875" style="381" customWidth="1"/>
    <col min="2" max="2" width="37.77734375" style="380" customWidth="1"/>
    <col min="3" max="3" width="5.5546875" style="380" bestFit="1" customWidth="1"/>
    <col min="4" max="4" width="19.21875" style="59" customWidth="1"/>
    <col min="5" max="5" width="19.21875" style="59" bestFit="1" customWidth="1"/>
    <col min="6" max="16384" width="11.44140625" style="388"/>
  </cols>
  <sheetData>
    <row r="1" spans="1:5" s="59" customFormat="1">
      <c r="A1" s="418" t="s">
        <v>0</v>
      </c>
      <c r="B1" s="418"/>
      <c r="C1" s="418"/>
      <c r="D1" s="418"/>
      <c r="E1" s="418"/>
    </row>
    <row r="2" spans="1:5" s="59" customFormat="1">
      <c r="A2" s="418" t="s">
        <v>113</v>
      </c>
      <c r="B2" s="418"/>
      <c r="C2" s="418"/>
      <c r="D2" s="418"/>
      <c r="E2" s="418"/>
    </row>
    <row r="3" spans="1:5" s="59" customFormat="1" ht="15" customHeight="1">
      <c r="A3" s="419" t="s">
        <v>139</v>
      </c>
      <c r="B3" s="419"/>
      <c r="C3" s="419"/>
      <c r="D3" s="419"/>
      <c r="E3" s="419"/>
    </row>
    <row r="4" spans="1:5" s="59" customFormat="1" ht="15" customHeight="1">
      <c r="A4" s="419" t="s">
        <v>899</v>
      </c>
      <c r="B4" s="419"/>
      <c r="C4" s="419"/>
      <c r="D4" s="419"/>
      <c r="E4" s="419"/>
    </row>
    <row r="5" spans="1:5" s="59" customFormat="1" ht="15" customHeight="1">
      <c r="A5" s="420" t="s">
        <v>141</v>
      </c>
      <c r="B5" s="420"/>
      <c r="C5" s="420"/>
      <c r="D5" s="420"/>
      <c r="E5" s="420"/>
    </row>
    <row r="6" spans="1:5" s="59" customFormat="1" ht="15" customHeight="1">
      <c r="A6" s="381"/>
      <c r="B6" s="51"/>
      <c r="C6" s="51"/>
      <c r="D6" s="52"/>
      <c r="E6" s="52"/>
    </row>
    <row r="7" spans="1:5" s="59" customFormat="1">
      <c r="A7" s="382"/>
      <c r="B7" s="382"/>
      <c r="C7" s="4" t="s">
        <v>1</v>
      </c>
      <c r="D7" s="383">
        <v>2022</v>
      </c>
      <c r="E7" s="383">
        <v>2021</v>
      </c>
    </row>
    <row r="8" spans="1:5" s="59" customFormat="1" ht="15" customHeight="1">
      <c r="A8" s="417" t="s">
        <v>44</v>
      </c>
      <c r="B8" s="422"/>
      <c r="C8" s="54"/>
    </row>
    <row r="9" spans="1:5" s="59" customFormat="1" ht="15" customHeight="1">
      <c r="A9" s="421" t="s">
        <v>45</v>
      </c>
      <c r="B9" s="421"/>
      <c r="C9" s="55"/>
    </row>
    <row r="10" spans="1:5" s="59" customFormat="1" ht="15" customHeight="1">
      <c r="A10" s="381"/>
      <c r="B10" s="51" t="s">
        <v>46</v>
      </c>
      <c r="C10" s="51"/>
      <c r="D10" s="58">
        <v>5584695441.0799999</v>
      </c>
      <c r="E10" s="58">
        <v>10290852816.980005</v>
      </c>
    </row>
    <row r="11" spans="1:5" s="59" customFormat="1" ht="15" customHeight="1">
      <c r="A11" s="381"/>
      <c r="B11" s="51" t="s">
        <v>47</v>
      </c>
      <c r="C11" s="51"/>
      <c r="D11" s="58">
        <v>4602952487</v>
      </c>
      <c r="E11" s="58">
        <v>3763196569</v>
      </c>
    </row>
    <row r="12" spans="1:5" s="59" customFormat="1" ht="15" customHeight="1">
      <c r="A12" s="381"/>
      <c r="B12" s="51" t="s">
        <v>48</v>
      </c>
      <c r="C12" s="51"/>
      <c r="D12" s="58">
        <v>1604743819.1100001</v>
      </c>
      <c r="E12" s="58">
        <v>1672602437.1999993</v>
      </c>
    </row>
    <row r="13" spans="1:5" s="59" customFormat="1" ht="15" customHeight="1">
      <c r="A13" s="381"/>
      <c r="B13" s="51" t="s">
        <v>49</v>
      </c>
      <c r="C13" s="51"/>
      <c r="D13" s="58">
        <v>32732263.68</v>
      </c>
      <c r="E13" s="58">
        <v>47029822.749999993</v>
      </c>
    </row>
    <row r="14" spans="1:5" s="59" customFormat="1" ht="15" customHeight="1">
      <c r="A14" s="381"/>
      <c r="B14" s="51" t="s">
        <v>50</v>
      </c>
      <c r="C14" s="51"/>
      <c r="D14" s="58">
        <v>9677768612.2199993</v>
      </c>
      <c r="E14" s="58">
        <v>5458314118.0097389</v>
      </c>
    </row>
    <row r="15" spans="1:5" s="59" customFormat="1" ht="15" customHeight="1">
      <c r="A15" s="381"/>
      <c r="B15" s="51" t="s">
        <v>51</v>
      </c>
      <c r="C15" s="51"/>
      <c r="D15" s="384">
        <f>SUM(D10:D14)</f>
        <v>21502892623.09</v>
      </c>
      <c r="E15" s="384">
        <f>SUM(E10:E14)</f>
        <v>21231995763.939743</v>
      </c>
    </row>
    <row r="16" spans="1:5" s="59" customFormat="1" ht="15" customHeight="1">
      <c r="A16" s="421" t="s">
        <v>52</v>
      </c>
      <c r="B16" s="421"/>
      <c r="C16" s="55"/>
      <c r="D16" s="58"/>
      <c r="E16" s="58"/>
    </row>
    <row r="17" spans="1:5" s="59" customFormat="1" ht="15" customHeight="1">
      <c r="A17" s="381"/>
      <c r="B17" s="56" t="s">
        <v>53</v>
      </c>
      <c r="C17" s="56"/>
      <c r="D17" s="58">
        <v>12733372521.240498</v>
      </c>
      <c r="E17" s="58">
        <v>19769265868.210007</v>
      </c>
    </row>
    <row r="18" spans="1:5" s="59" customFormat="1" ht="15" customHeight="1">
      <c r="A18" s="381"/>
      <c r="B18" s="51" t="s">
        <v>54</v>
      </c>
      <c r="C18" s="51"/>
      <c r="D18" s="58">
        <v>3655127333.9899988</v>
      </c>
      <c r="E18" s="58">
        <v>5150447299.6899996</v>
      </c>
    </row>
    <row r="19" spans="1:5" s="59" customFormat="1" ht="15" customHeight="1">
      <c r="A19" s="381"/>
      <c r="B19" s="56" t="s">
        <v>55</v>
      </c>
      <c r="C19" s="56"/>
      <c r="D19" s="58">
        <v>180931014.44</v>
      </c>
      <c r="E19" s="58">
        <v>7316427.5900000036</v>
      </c>
    </row>
    <row r="20" spans="1:5" s="59" customFormat="1" ht="15" customHeight="1">
      <c r="A20" s="381"/>
      <c r="B20" s="51" t="s">
        <v>56</v>
      </c>
      <c r="C20" s="51"/>
      <c r="D20" s="58">
        <v>3339897660.8205004</v>
      </c>
      <c r="E20" s="58">
        <v>1244850668.7100034</v>
      </c>
    </row>
    <row r="21" spans="1:5" s="59" customFormat="1" ht="15" customHeight="1">
      <c r="A21" s="381"/>
      <c r="B21" s="51" t="s">
        <v>57</v>
      </c>
      <c r="C21" s="51"/>
      <c r="D21" s="384">
        <f>SUM(D17:D20)</f>
        <v>19909328530.490997</v>
      </c>
      <c r="E21" s="384">
        <f>SUM(E17:E20)</f>
        <v>26171880264.200008</v>
      </c>
    </row>
    <row r="22" spans="1:5" s="59" customFormat="1">
      <c r="A22" s="417" t="s">
        <v>58</v>
      </c>
      <c r="B22" s="417"/>
      <c r="C22" s="57" t="s">
        <v>721</v>
      </c>
      <c r="D22" s="384">
        <f>+D15-D21</f>
        <v>1593564092.5990028</v>
      </c>
      <c r="E22" s="384">
        <f>+E15-E21</f>
        <v>-4939884500.2602654</v>
      </c>
    </row>
    <row r="23" spans="1:5" s="59" customFormat="1">
      <c r="A23" s="417" t="s">
        <v>59</v>
      </c>
      <c r="B23" s="417"/>
      <c r="C23" s="53"/>
      <c r="D23" s="58"/>
      <c r="E23" s="58"/>
    </row>
    <row r="24" spans="1:5" s="59" customFormat="1" ht="15" customHeight="1">
      <c r="A24" s="421" t="s">
        <v>45</v>
      </c>
      <c r="B24" s="421"/>
      <c r="C24" s="55"/>
      <c r="D24" s="58"/>
      <c r="E24" s="58"/>
    </row>
    <row r="25" spans="1:5" s="59" customFormat="1">
      <c r="A25" s="54"/>
      <c r="B25" s="55" t="s">
        <v>892</v>
      </c>
      <c r="C25" s="55"/>
      <c r="D25" s="58">
        <v>4921063.93</v>
      </c>
      <c r="E25" s="58">
        <v>1257327371.54</v>
      </c>
    </row>
    <row r="26" spans="1:5" s="59" customFormat="1">
      <c r="A26" s="54"/>
      <c r="B26" s="391" t="s">
        <v>893</v>
      </c>
      <c r="C26" s="55"/>
      <c r="D26" s="58"/>
      <c r="E26" s="58"/>
    </row>
    <row r="27" spans="1:5" s="59" customFormat="1" ht="15" customHeight="1">
      <c r="A27" s="389"/>
      <c r="B27" s="55" t="s">
        <v>51</v>
      </c>
      <c r="C27" s="56"/>
      <c r="D27" s="384">
        <f>+D25</f>
        <v>4921063.93</v>
      </c>
      <c r="E27" s="384">
        <f>+E25</f>
        <v>1257327371.54</v>
      </c>
    </row>
    <row r="28" spans="1:5" s="59" customFormat="1" ht="15" customHeight="1">
      <c r="A28" s="421" t="s">
        <v>52</v>
      </c>
      <c r="B28" s="421"/>
      <c r="C28" s="55"/>
      <c r="D28" s="58"/>
      <c r="E28" s="58"/>
    </row>
    <row r="29" spans="1:5" s="59" customFormat="1" ht="12.9" customHeight="1">
      <c r="A29" s="54"/>
      <c r="B29" s="55" t="s">
        <v>894</v>
      </c>
      <c r="C29" s="55"/>
      <c r="D29" s="58">
        <v>9220002514.6490002</v>
      </c>
      <c r="E29" s="58">
        <v>4749910326.5200005</v>
      </c>
    </row>
    <row r="30" spans="1:5" s="59" customFormat="1">
      <c r="A30" s="54"/>
      <c r="B30" s="391" t="s">
        <v>895</v>
      </c>
      <c r="C30" s="55"/>
      <c r="D30" s="58"/>
      <c r="E30" s="58"/>
    </row>
    <row r="31" spans="1:5" s="59" customFormat="1" ht="15" customHeight="1">
      <c r="A31" s="389"/>
      <c r="B31" s="55" t="s">
        <v>57</v>
      </c>
      <c r="C31" s="56"/>
      <c r="D31" s="384">
        <f>+D29</f>
        <v>9220002514.6490002</v>
      </c>
      <c r="E31" s="384">
        <f>+E29</f>
        <v>4749910326.5200005</v>
      </c>
    </row>
    <row r="32" spans="1:5" s="59" customFormat="1" ht="15" customHeight="1">
      <c r="A32" s="390" t="s">
        <v>60</v>
      </c>
      <c r="B32" s="53"/>
      <c r="C32" s="60"/>
      <c r="D32" s="384">
        <f>+D27-D31</f>
        <v>-9215081450.7189999</v>
      </c>
      <c r="E32" s="384">
        <f>+E27-E31</f>
        <v>-3492582954.9800005</v>
      </c>
    </row>
    <row r="33" spans="1:5" s="59" customFormat="1">
      <c r="A33" s="417" t="s">
        <v>61</v>
      </c>
      <c r="B33" s="422"/>
      <c r="C33" s="54"/>
      <c r="D33" s="385"/>
      <c r="E33" s="385"/>
    </row>
    <row r="34" spans="1:5" s="59" customFormat="1" ht="15" customHeight="1">
      <c r="A34" s="389" t="s">
        <v>45</v>
      </c>
      <c r="B34" s="54"/>
      <c r="C34" s="54"/>
      <c r="D34" s="385"/>
      <c r="E34" s="385"/>
    </row>
    <row r="35" spans="1:5" s="59" customFormat="1" ht="15" customHeight="1">
      <c r="A35" s="53"/>
      <c r="B35" s="55" t="s">
        <v>121</v>
      </c>
      <c r="C35" s="55"/>
      <c r="D35" s="58">
        <v>5094922521.4499998</v>
      </c>
      <c r="E35" s="58">
        <v>2991685073.71</v>
      </c>
    </row>
    <row r="36" spans="1:5" s="59" customFormat="1" ht="15" customHeight="1">
      <c r="A36" s="53"/>
      <c r="B36" s="56" t="s">
        <v>51</v>
      </c>
      <c r="C36" s="56"/>
      <c r="D36" s="384">
        <f>+D35</f>
        <v>5094922521.4499998</v>
      </c>
      <c r="E36" s="384">
        <f>+E35</f>
        <v>2991685073.71</v>
      </c>
    </row>
    <row r="37" spans="1:5" s="59" customFormat="1" ht="15" customHeight="1">
      <c r="A37" s="381" t="s">
        <v>52</v>
      </c>
      <c r="B37" s="56"/>
      <c r="C37" s="56"/>
      <c r="D37" s="58"/>
      <c r="E37" s="58"/>
    </row>
    <row r="38" spans="1:5" s="59" customFormat="1" ht="15" customHeight="1">
      <c r="A38" s="381"/>
      <c r="B38" s="56" t="s">
        <v>62</v>
      </c>
      <c r="C38" s="56"/>
      <c r="D38" s="58">
        <v>0</v>
      </c>
      <c r="E38" s="58">
        <v>0</v>
      </c>
    </row>
    <row r="39" spans="1:5" s="59" customFormat="1" ht="15" customHeight="1">
      <c r="A39" s="381"/>
      <c r="B39" s="56" t="s">
        <v>57</v>
      </c>
      <c r="C39" s="56"/>
      <c r="D39" s="384">
        <v>0</v>
      </c>
      <c r="E39" s="384">
        <v>0</v>
      </c>
    </row>
    <row r="40" spans="1:5" s="59" customFormat="1" ht="15" customHeight="1">
      <c r="A40" s="382" t="s">
        <v>63</v>
      </c>
      <c r="B40" s="60"/>
      <c r="C40" s="60"/>
      <c r="D40" s="384">
        <f>+D36+D39</f>
        <v>5094922521.4499998</v>
      </c>
      <c r="E40" s="384">
        <f>+E36+E39</f>
        <v>2991685073.71</v>
      </c>
    </row>
    <row r="41" spans="1:5" s="59" customFormat="1">
      <c r="A41" s="417" t="s">
        <v>896</v>
      </c>
      <c r="B41" s="417"/>
      <c r="C41" s="53"/>
      <c r="D41" s="58">
        <f>+D22+D32+D40</f>
        <v>-2526594836.6699972</v>
      </c>
      <c r="E41" s="58">
        <f>+E22+E32+E40</f>
        <v>-5440782381.5302658</v>
      </c>
    </row>
    <row r="42" spans="1:5" s="59" customFormat="1">
      <c r="A42" s="390"/>
      <c r="B42" s="390" t="s">
        <v>897</v>
      </c>
      <c r="C42" s="390"/>
      <c r="D42" s="58"/>
      <c r="E42" s="58"/>
    </row>
    <row r="43" spans="1:5" s="59" customFormat="1">
      <c r="A43" s="382" t="s">
        <v>106</v>
      </c>
      <c r="B43" s="380"/>
      <c r="C43" s="380"/>
      <c r="D43" s="58">
        <v>10852325069.129999</v>
      </c>
      <c r="E43" s="58">
        <v>16293107450.659918</v>
      </c>
    </row>
    <row r="44" spans="1:5" s="59" customFormat="1">
      <c r="A44" s="382" t="s">
        <v>107</v>
      </c>
      <c r="B44" s="380"/>
      <c r="C44" s="380"/>
      <c r="D44" s="384">
        <f>+D41+D43</f>
        <v>8325730232.4600019</v>
      </c>
      <c r="E44" s="384">
        <v>10852325069.129654</v>
      </c>
    </row>
    <row r="45" spans="1:5" s="59" customFormat="1">
      <c r="A45" s="378" t="s">
        <v>29</v>
      </c>
      <c r="B45" s="380"/>
      <c r="C45" s="380"/>
      <c r="D45" s="386"/>
      <c r="E45" s="387"/>
    </row>
  </sheetData>
  <sheetProtection algorithmName="SHA-512" hashValue="ylLYq7v8kPxp+IDiCYaQaX8qJpeaGn40yoCUP02LWERLCtuKbIiFo5a8w+HukaoEfW5QcnZeohYeI4YFF7/vog==" saltValue="qRy5U8Tu66URALr/FUvXmA==" spinCount="100000" sheet="1" objects="1" scenarios="1" selectLockedCells="1" selectUnlockedCells="1"/>
  <mergeCells count="14">
    <mergeCell ref="A41:B41"/>
    <mergeCell ref="A1:E1"/>
    <mergeCell ref="A2:E2"/>
    <mergeCell ref="A3:E3"/>
    <mergeCell ref="A5:E5"/>
    <mergeCell ref="A24:B24"/>
    <mergeCell ref="A28:B28"/>
    <mergeCell ref="A33:B33"/>
    <mergeCell ref="A8:B8"/>
    <mergeCell ref="A9:B9"/>
    <mergeCell ref="A16:B16"/>
    <mergeCell ref="A22:B22"/>
    <mergeCell ref="A23:B23"/>
    <mergeCell ref="A4:E4"/>
  </mergeCells>
  <pageMargins left="1.25" right="1" top="1" bottom="1" header="0.5" footer="0.5"/>
  <pageSetup scale="95" firstPageNumber="8" orientation="portrait" useFirstPageNumber="1" r:id="rId1"/>
  <headerFooter scaleWithDoc="0">
    <oddFooter>&amp;C&amp;"Arial,Regular"&amp;10&amp;P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3"/>
  <sheetViews>
    <sheetView showGridLines="0" zoomScaleNormal="100" workbookViewId="0">
      <selection sqref="A1:K1"/>
    </sheetView>
  </sheetViews>
  <sheetFormatPr defaultColWidth="9.109375" defaultRowHeight="13.8"/>
  <cols>
    <col min="1" max="1" width="3" style="34" customWidth="1"/>
    <col min="2" max="2" width="2" style="34" customWidth="1"/>
    <col min="3" max="3" width="3.33203125" style="34" customWidth="1"/>
    <col min="4" max="4" width="2.5546875" style="34" customWidth="1"/>
    <col min="5" max="5" width="3" style="34" customWidth="1"/>
    <col min="6" max="6" width="41.33203125" style="34" customWidth="1"/>
    <col min="7" max="11" width="19.21875" style="50" customWidth="1"/>
    <col min="12" max="16384" width="9.109375" style="31"/>
  </cols>
  <sheetData>
    <row r="1" spans="1:11">
      <c r="A1" s="424" t="s">
        <v>0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</row>
    <row r="2" spans="1:11">
      <c r="A2" s="424" t="s">
        <v>112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</row>
    <row r="3" spans="1:11">
      <c r="A3" s="423" t="s">
        <v>899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</row>
    <row r="4" spans="1:11">
      <c r="A4" s="423" t="s">
        <v>139</v>
      </c>
      <c r="B4" s="423"/>
      <c r="C4" s="423"/>
      <c r="D4" s="423"/>
      <c r="E4" s="423"/>
      <c r="F4" s="423"/>
      <c r="G4" s="423"/>
      <c r="H4" s="423"/>
      <c r="I4" s="423"/>
      <c r="J4" s="423"/>
      <c r="K4" s="423"/>
    </row>
    <row r="6" spans="1:11" ht="26.4" customHeight="1">
      <c r="A6" s="425" t="s">
        <v>64</v>
      </c>
      <c r="B6" s="425"/>
      <c r="C6" s="425"/>
      <c r="D6" s="425"/>
      <c r="E6" s="425"/>
      <c r="F6" s="425"/>
      <c r="G6" s="427" t="s">
        <v>65</v>
      </c>
      <c r="H6" s="427"/>
      <c r="I6" s="428" t="s">
        <v>66</v>
      </c>
      <c r="J6" s="428" t="s">
        <v>67</v>
      </c>
      <c r="K6" s="428" t="s">
        <v>68</v>
      </c>
    </row>
    <row r="7" spans="1:11" ht="13.95" customHeight="1">
      <c r="A7" s="426"/>
      <c r="B7" s="426"/>
      <c r="C7" s="426"/>
      <c r="D7" s="426"/>
      <c r="E7" s="426"/>
      <c r="F7" s="426"/>
      <c r="G7" s="32" t="s">
        <v>69</v>
      </c>
      <c r="H7" s="32" t="s">
        <v>70</v>
      </c>
      <c r="I7" s="429"/>
      <c r="J7" s="429"/>
      <c r="K7" s="429"/>
    </row>
    <row r="8" spans="1:11">
      <c r="A8" s="33" t="s">
        <v>71</v>
      </c>
      <c r="G8" s="35"/>
      <c r="H8" s="35"/>
      <c r="I8" s="35"/>
      <c r="J8" s="35"/>
      <c r="K8" s="35"/>
    </row>
    <row r="9" spans="1:11">
      <c r="A9" s="423" t="s">
        <v>72</v>
      </c>
      <c r="B9" s="423"/>
      <c r="C9" s="34" t="s">
        <v>73</v>
      </c>
      <c r="G9" s="35"/>
      <c r="H9" s="35"/>
      <c r="I9" s="35"/>
      <c r="J9" s="35"/>
      <c r="K9" s="35"/>
    </row>
    <row r="10" spans="1:11">
      <c r="C10" s="34" t="s">
        <v>74</v>
      </c>
      <c r="D10" s="34" t="s">
        <v>31</v>
      </c>
      <c r="G10" s="35"/>
      <c r="H10" s="35"/>
      <c r="I10" s="35"/>
      <c r="J10" s="35"/>
      <c r="K10" s="35"/>
    </row>
    <row r="11" spans="1:11">
      <c r="E11" s="34" t="s">
        <v>75</v>
      </c>
      <c r="F11" s="34" t="s">
        <v>116</v>
      </c>
      <c r="G11" s="35">
        <v>6060000000</v>
      </c>
      <c r="H11" s="35">
        <v>6060000000</v>
      </c>
      <c r="I11" s="35">
        <f t="shared" ref="I11:I13" si="0">G11-H11</f>
        <v>0</v>
      </c>
      <c r="J11" s="36">
        <v>5313670150.25</v>
      </c>
      <c r="K11" s="35">
        <f>H11-J11</f>
        <v>746329849.75</v>
      </c>
    </row>
    <row r="12" spans="1:11">
      <c r="E12" s="34" t="s">
        <v>76</v>
      </c>
      <c r="F12" s="34" t="s">
        <v>117</v>
      </c>
      <c r="G12" s="35">
        <v>4920000000</v>
      </c>
      <c r="H12" s="35">
        <v>4920000000</v>
      </c>
      <c r="I12" s="35">
        <f t="shared" si="0"/>
        <v>0</v>
      </c>
      <c r="J12" s="36">
        <v>4007591122.9699998</v>
      </c>
      <c r="K12" s="35">
        <f t="shared" ref="K12:K13" si="1">H12-J12</f>
        <v>912408877.03000021</v>
      </c>
    </row>
    <row r="13" spans="1:11">
      <c r="E13" s="34" t="s">
        <v>78</v>
      </c>
      <c r="F13" s="34" t="s">
        <v>77</v>
      </c>
      <c r="G13" s="35">
        <v>642250000</v>
      </c>
      <c r="H13" s="35">
        <v>642250000</v>
      </c>
      <c r="I13" s="35">
        <f t="shared" si="0"/>
        <v>0</v>
      </c>
      <c r="J13" s="36">
        <v>311361577.76999998</v>
      </c>
      <c r="K13" s="35">
        <f t="shared" si="1"/>
        <v>330888422.23000002</v>
      </c>
    </row>
    <row r="14" spans="1:11">
      <c r="A14" s="37"/>
      <c r="B14" s="37"/>
      <c r="C14" s="37"/>
      <c r="D14" s="37" t="s">
        <v>79</v>
      </c>
      <c r="E14" s="37"/>
      <c r="F14" s="37"/>
      <c r="G14" s="38">
        <f t="shared" ref="G14:H14" si="2">SUM(G11:G13)</f>
        <v>11622250000</v>
      </c>
      <c r="H14" s="38">
        <f t="shared" si="2"/>
        <v>11622250000</v>
      </c>
      <c r="I14" s="38">
        <f>SUM(I11:I13)</f>
        <v>0</v>
      </c>
      <c r="J14" s="38">
        <f t="shared" ref="J14:K14" si="3">SUM(J11:J13)</f>
        <v>9632622850.9899998</v>
      </c>
      <c r="K14" s="38">
        <f t="shared" si="3"/>
        <v>1989627149.0100002</v>
      </c>
    </row>
    <row r="15" spans="1:11">
      <c r="C15" s="34" t="s">
        <v>80</v>
      </c>
      <c r="D15" s="34" t="s">
        <v>81</v>
      </c>
      <c r="G15" s="35"/>
      <c r="H15" s="35"/>
      <c r="I15" s="35"/>
      <c r="J15" s="35"/>
      <c r="K15" s="35"/>
    </row>
    <row r="16" spans="1:11">
      <c r="E16" s="34" t="s">
        <v>130</v>
      </c>
      <c r="G16" s="35"/>
      <c r="H16" s="35"/>
      <c r="I16" s="35"/>
      <c r="J16" s="39"/>
      <c r="K16" s="35"/>
    </row>
    <row r="17" spans="1:11">
      <c r="E17" s="34" t="s">
        <v>131</v>
      </c>
      <c r="G17" s="35"/>
      <c r="H17" s="35"/>
      <c r="I17" s="35"/>
      <c r="J17" s="39"/>
      <c r="K17" s="35"/>
    </row>
    <row r="18" spans="1:11">
      <c r="E18" s="34" t="s">
        <v>132</v>
      </c>
      <c r="G18" s="35">
        <v>1181613818</v>
      </c>
      <c r="H18" s="35">
        <v>1181613818</v>
      </c>
      <c r="I18" s="35">
        <f t="shared" ref="I18:I20" si="4">G18-H18</f>
        <v>0</v>
      </c>
      <c r="J18" s="39">
        <v>774646652.84000003</v>
      </c>
      <c r="K18" s="35">
        <f t="shared" ref="K18:K20" si="5">H18-J18</f>
        <v>406967165.15999997</v>
      </c>
    </row>
    <row r="19" spans="1:11">
      <c r="E19" s="34" t="s">
        <v>133</v>
      </c>
      <c r="G19" s="35">
        <v>707135638</v>
      </c>
      <c r="H19" s="35">
        <v>707135638</v>
      </c>
      <c r="I19" s="35">
        <f t="shared" si="4"/>
        <v>0</v>
      </c>
      <c r="J19" s="39">
        <v>779119886.75999999</v>
      </c>
      <c r="K19" s="35">
        <f t="shared" si="5"/>
        <v>-71984248.75999999</v>
      </c>
    </row>
    <row r="20" spans="1:11">
      <c r="E20" s="34" t="s">
        <v>134</v>
      </c>
      <c r="G20" s="35">
        <v>1938242</v>
      </c>
      <c r="H20" s="35">
        <v>7866285</v>
      </c>
      <c r="I20" s="35">
        <f t="shared" si="4"/>
        <v>-5928043</v>
      </c>
      <c r="J20" s="39">
        <v>156392085.52000001</v>
      </c>
      <c r="K20" s="35">
        <f t="shared" si="5"/>
        <v>-148525800.52000001</v>
      </c>
    </row>
    <row r="21" spans="1:11">
      <c r="A21" s="37"/>
      <c r="B21" s="37"/>
      <c r="C21" s="37"/>
      <c r="D21" s="37" t="s">
        <v>82</v>
      </c>
      <c r="E21" s="37"/>
      <c r="F21" s="37"/>
      <c r="G21" s="38">
        <f t="shared" ref="G21:H21" si="6">SUM(G18:G20)</f>
        <v>1890687698</v>
      </c>
      <c r="H21" s="38">
        <f t="shared" si="6"/>
        <v>1896615741</v>
      </c>
      <c r="I21" s="38">
        <f>SUM(I18:I20)</f>
        <v>-5928043</v>
      </c>
      <c r="J21" s="38">
        <f t="shared" ref="J21:K21" si="7">SUM(J18:J20)</f>
        <v>1710158625.1199999</v>
      </c>
      <c r="K21" s="38">
        <f t="shared" si="7"/>
        <v>186457115.87999997</v>
      </c>
    </row>
    <row r="22" spans="1:11">
      <c r="A22" s="423" t="s">
        <v>83</v>
      </c>
      <c r="B22" s="423"/>
      <c r="C22" s="34" t="s">
        <v>84</v>
      </c>
      <c r="G22" s="40"/>
      <c r="H22" s="40"/>
      <c r="I22" s="40"/>
      <c r="J22" s="40"/>
      <c r="K22" s="40"/>
    </row>
    <row r="23" spans="1:11">
      <c r="C23" s="34" t="s">
        <v>74</v>
      </c>
      <c r="D23" s="34" t="s">
        <v>85</v>
      </c>
      <c r="G23" s="35">
        <v>4978610487</v>
      </c>
      <c r="H23" s="35">
        <v>4978610487</v>
      </c>
      <c r="I23" s="35">
        <f t="shared" ref="I23:I25" si="8">G23-H23</f>
        <v>0</v>
      </c>
      <c r="J23" s="39">
        <v>4602952487</v>
      </c>
      <c r="K23" s="35">
        <f t="shared" ref="K23:K27" si="9">H23-J23</f>
        <v>375658000</v>
      </c>
    </row>
    <row r="24" spans="1:11">
      <c r="D24" s="34" t="s">
        <v>75</v>
      </c>
      <c r="E24" s="34" t="s">
        <v>86</v>
      </c>
      <c r="G24" s="35">
        <v>6119555749</v>
      </c>
      <c r="H24" s="35">
        <v>6119555749</v>
      </c>
      <c r="I24" s="35">
        <f t="shared" si="8"/>
        <v>0</v>
      </c>
      <c r="J24" s="39">
        <v>0</v>
      </c>
      <c r="K24" s="35">
        <f t="shared" si="9"/>
        <v>6119555749</v>
      </c>
    </row>
    <row r="25" spans="1:11">
      <c r="D25" s="34" t="s">
        <v>76</v>
      </c>
      <c r="E25" s="34" t="s">
        <v>137</v>
      </c>
      <c r="G25" s="35">
        <v>28896066</v>
      </c>
      <c r="H25" s="35">
        <v>28896066</v>
      </c>
      <c r="I25" s="35">
        <f t="shared" si="8"/>
        <v>0</v>
      </c>
      <c r="J25" s="39">
        <v>0</v>
      </c>
      <c r="K25" s="35">
        <f t="shared" si="9"/>
        <v>28896066</v>
      </c>
    </row>
    <row r="26" spans="1:11">
      <c r="A26" s="423" t="s">
        <v>87</v>
      </c>
      <c r="B26" s="423"/>
      <c r="C26" s="34" t="s">
        <v>88</v>
      </c>
      <c r="G26" s="35">
        <v>0</v>
      </c>
      <c r="H26" s="35">
        <v>2800000000</v>
      </c>
      <c r="I26" s="35">
        <f>G26-H26</f>
        <v>-2800000000</v>
      </c>
      <c r="J26" s="35">
        <v>5094922521.4499998</v>
      </c>
      <c r="K26" s="35">
        <f t="shared" si="9"/>
        <v>-2294922521.4499998</v>
      </c>
    </row>
    <row r="27" spans="1:11">
      <c r="A27" s="423" t="s">
        <v>847</v>
      </c>
      <c r="B27" s="423"/>
      <c r="C27" s="34" t="s">
        <v>846</v>
      </c>
      <c r="G27" s="35">
        <f>'[1]SCBAA-GF'!$G$31+'[1]SCBAA-SEF'!$G$29</f>
        <v>116546510</v>
      </c>
      <c r="H27" s="35">
        <f>'[1]SCBAA-GF'!$H$31+'[1]SCBAA-SEF'!$H$29</f>
        <v>598736510</v>
      </c>
      <c r="I27" s="35">
        <f>G27-H27</f>
        <v>-482190000</v>
      </c>
      <c r="J27" s="35">
        <f>'[1]SCBAA-GF'!$J$31+'[1]SCBAA-SEF'!$J$29</f>
        <v>0</v>
      </c>
      <c r="K27" s="35">
        <f t="shared" si="9"/>
        <v>598736510</v>
      </c>
    </row>
    <row r="28" spans="1:11" s="42" customFormat="1">
      <c r="A28" s="41" t="s">
        <v>89</v>
      </c>
      <c r="B28" s="41"/>
      <c r="C28" s="41"/>
      <c r="D28" s="41"/>
      <c r="E28" s="41"/>
      <c r="F28" s="41"/>
      <c r="G28" s="38">
        <f>SUM(G23:G27)+G21+G14</f>
        <v>24756546510</v>
      </c>
      <c r="H28" s="38">
        <f>SUM(H23:H27)+H21+H14</f>
        <v>28044664553</v>
      </c>
      <c r="I28" s="38">
        <f>SUM(I23:I27)+I21+I14</f>
        <v>-3288118043</v>
      </c>
      <c r="J28" s="38">
        <f>SUM(J23:J27)+J21+J14</f>
        <v>21040656484.559998</v>
      </c>
      <c r="K28" s="38">
        <f>SUM(K23:K27)+K21+K14</f>
        <v>7004008068.4400005</v>
      </c>
    </row>
    <row r="29" spans="1:11" s="42" customFormat="1">
      <c r="A29" s="33"/>
      <c r="B29" s="33"/>
      <c r="C29" s="33"/>
      <c r="D29" s="33"/>
      <c r="E29" s="33"/>
      <c r="F29" s="33"/>
      <c r="G29" s="40"/>
      <c r="H29" s="40"/>
      <c r="I29" s="40"/>
      <c r="J29" s="40"/>
      <c r="K29" s="40"/>
    </row>
    <row r="30" spans="1:11">
      <c r="A30" s="33" t="s">
        <v>91</v>
      </c>
      <c r="B30" s="33"/>
      <c r="G30" s="35"/>
      <c r="H30" s="35"/>
      <c r="I30" s="35"/>
      <c r="J30" s="39"/>
      <c r="K30" s="35"/>
    </row>
    <row r="31" spans="1:11">
      <c r="A31" s="33" t="s">
        <v>90</v>
      </c>
      <c r="G31" s="35"/>
      <c r="H31" s="35"/>
      <c r="I31" s="35"/>
      <c r="J31" s="35"/>
      <c r="K31" s="35"/>
    </row>
    <row r="32" spans="1:11">
      <c r="A32" s="33"/>
      <c r="B32" s="33" t="s">
        <v>92</v>
      </c>
      <c r="G32" s="35"/>
      <c r="H32" s="35"/>
      <c r="I32" s="35"/>
      <c r="J32" s="39"/>
      <c r="K32" s="35"/>
    </row>
    <row r="33" spans="2:11">
      <c r="D33" s="34" t="s">
        <v>37</v>
      </c>
      <c r="G33" s="35">
        <v>1608326005</v>
      </c>
      <c r="H33" s="35">
        <v>1603517138</v>
      </c>
      <c r="I33" s="47">
        <f t="shared" ref="I33:I35" si="10">G33-H33</f>
        <v>4808867</v>
      </c>
      <c r="J33" s="39">
        <v>1375524072.23</v>
      </c>
      <c r="K33" s="35">
        <f t="shared" ref="K33:K43" si="11">H33-J33</f>
        <v>227993065.76999998</v>
      </c>
    </row>
    <row r="34" spans="2:11">
      <c r="D34" s="34" t="s">
        <v>38</v>
      </c>
      <c r="G34" s="35">
        <v>1549189443</v>
      </c>
      <c r="H34" s="35">
        <v>1701728943</v>
      </c>
      <c r="I34" s="47">
        <f t="shared" si="10"/>
        <v>-152539500</v>
      </c>
      <c r="J34" s="39">
        <v>1671842290.05</v>
      </c>
      <c r="K34" s="35">
        <f t="shared" si="11"/>
        <v>29886652.950000048</v>
      </c>
    </row>
    <row r="35" spans="2:11">
      <c r="D35" s="34" t="s">
        <v>94</v>
      </c>
      <c r="G35" s="35">
        <v>173865822</v>
      </c>
      <c r="H35" s="35">
        <v>173865822</v>
      </c>
      <c r="I35" s="47">
        <f t="shared" si="10"/>
        <v>0</v>
      </c>
      <c r="J35" s="39">
        <v>189356243</v>
      </c>
      <c r="K35" s="35">
        <f t="shared" si="11"/>
        <v>-15490421</v>
      </c>
    </row>
    <row r="36" spans="2:11">
      <c r="B36" s="33" t="s">
        <v>95</v>
      </c>
      <c r="G36" s="35"/>
      <c r="H36" s="35"/>
      <c r="I36" s="35"/>
      <c r="J36" s="39"/>
      <c r="K36" s="35"/>
    </row>
    <row r="37" spans="2:11">
      <c r="D37" s="34" t="s">
        <v>37</v>
      </c>
      <c r="G37" s="35">
        <v>3524124866</v>
      </c>
      <c r="H37" s="35">
        <v>3566624990</v>
      </c>
      <c r="I37" s="47">
        <f t="shared" ref="I37:I39" si="12">G37-H37</f>
        <v>-42500124</v>
      </c>
      <c r="J37" s="39">
        <v>3259255216.8299999</v>
      </c>
      <c r="K37" s="35">
        <f t="shared" si="11"/>
        <v>307369773.17000008</v>
      </c>
    </row>
    <row r="38" spans="2:11">
      <c r="D38" s="34" t="s">
        <v>38</v>
      </c>
      <c r="G38" s="35">
        <v>9323564980</v>
      </c>
      <c r="H38" s="35">
        <v>8869099214</v>
      </c>
      <c r="I38" s="47">
        <f t="shared" si="12"/>
        <v>454465766</v>
      </c>
      <c r="J38" s="39">
        <v>7961134022.7200003</v>
      </c>
      <c r="K38" s="35">
        <f t="shared" si="11"/>
        <v>907965191.27999973</v>
      </c>
    </row>
    <row r="39" spans="2:11">
      <c r="D39" s="34" t="s">
        <v>94</v>
      </c>
      <c r="G39" s="35">
        <v>1665653499</v>
      </c>
      <c r="H39" s="35">
        <v>4530153499</v>
      </c>
      <c r="I39" s="47">
        <f t="shared" si="12"/>
        <v>-2864500000</v>
      </c>
      <c r="J39" s="39">
        <v>2290465946.5700002</v>
      </c>
      <c r="K39" s="35">
        <f t="shared" si="11"/>
        <v>2239687552.4299998</v>
      </c>
    </row>
    <row r="40" spans="2:11">
      <c r="B40" s="33" t="s">
        <v>96</v>
      </c>
      <c r="G40" s="35"/>
      <c r="H40" s="35"/>
      <c r="I40" s="35"/>
      <c r="J40" s="39"/>
      <c r="K40" s="35"/>
    </row>
    <row r="41" spans="2:11">
      <c r="D41" s="34" t="s">
        <v>37</v>
      </c>
      <c r="G41" s="47">
        <v>660034550</v>
      </c>
      <c r="H41" s="47">
        <v>660034550</v>
      </c>
      <c r="I41" s="47">
        <f>G41-H41</f>
        <v>0</v>
      </c>
      <c r="J41" s="49">
        <v>540412209.23000002</v>
      </c>
      <c r="K41" s="35">
        <f t="shared" si="11"/>
        <v>119622340.76999998</v>
      </c>
    </row>
    <row r="42" spans="2:11">
      <c r="D42" s="34" t="s">
        <v>38</v>
      </c>
      <c r="G42" s="47">
        <v>933327074</v>
      </c>
      <c r="H42" s="47">
        <v>904474774</v>
      </c>
      <c r="I42" s="47">
        <f>G42-H42</f>
        <v>28852300</v>
      </c>
      <c r="J42" s="49">
        <v>887843025.99000001</v>
      </c>
      <c r="K42" s="35">
        <f t="shared" si="11"/>
        <v>16631748.00999999</v>
      </c>
    </row>
    <row r="43" spans="2:11">
      <c r="D43" s="34" t="s">
        <v>94</v>
      </c>
      <c r="G43" s="47">
        <v>9000000</v>
      </c>
      <c r="H43" s="47">
        <v>392094000</v>
      </c>
      <c r="I43" s="47">
        <f>G43-H43</f>
        <v>-383094000</v>
      </c>
      <c r="J43" s="49">
        <v>372461267.25999999</v>
      </c>
      <c r="K43" s="35">
        <f t="shared" si="11"/>
        <v>19632732.74000001</v>
      </c>
    </row>
    <row r="44" spans="2:11">
      <c r="B44" s="33" t="s">
        <v>97</v>
      </c>
      <c r="G44" s="35"/>
      <c r="H44" s="35"/>
      <c r="I44" s="35"/>
      <c r="J44" s="39"/>
      <c r="K44" s="35"/>
    </row>
    <row r="45" spans="2:11">
      <c r="C45" s="34" t="s">
        <v>100</v>
      </c>
      <c r="G45" s="35"/>
      <c r="H45" s="35"/>
      <c r="I45" s="35"/>
      <c r="J45" s="39"/>
      <c r="K45" s="35"/>
    </row>
    <row r="46" spans="2:11">
      <c r="D46" s="34" t="s">
        <v>98</v>
      </c>
      <c r="G46" s="35">
        <v>585965705</v>
      </c>
      <c r="H46" s="35">
        <v>585965705</v>
      </c>
      <c r="I46" s="47">
        <f t="shared" ref="I46:I56" si="13">G46-H46</f>
        <v>0</v>
      </c>
      <c r="J46" s="39">
        <v>265928655.65000001</v>
      </c>
      <c r="K46" s="35">
        <f t="shared" ref="K46:K55" si="14">H46-J46</f>
        <v>320037049.35000002</v>
      </c>
    </row>
    <row r="47" spans="2:11">
      <c r="D47" s="34" t="s">
        <v>99</v>
      </c>
      <c r="G47" s="35">
        <v>69444445</v>
      </c>
      <c r="H47" s="35">
        <v>69444445</v>
      </c>
      <c r="I47" s="47">
        <f t="shared" si="13"/>
        <v>0</v>
      </c>
      <c r="J47" s="35">
        <v>67853498.879999995</v>
      </c>
      <c r="K47" s="35">
        <f t="shared" si="14"/>
        <v>1590946.1200000048</v>
      </c>
    </row>
    <row r="48" spans="2:11">
      <c r="C48" s="34" t="s">
        <v>101</v>
      </c>
      <c r="G48" s="35"/>
      <c r="H48" s="35"/>
      <c r="I48" s="35"/>
      <c r="J48" s="39"/>
      <c r="K48" s="35"/>
    </row>
    <row r="49" spans="1:11">
      <c r="D49" s="34" t="s">
        <v>38</v>
      </c>
      <c r="G49" s="35">
        <v>672480497.14999998</v>
      </c>
      <c r="H49" s="35">
        <v>672480497.14999998</v>
      </c>
      <c r="I49" s="47">
        <f t="shared" si="13"/>
        <v>0</v>
      </c>
      <c r="J49" s="39">
        <v>82447242.5</v>
      </c>
      <c r="K49" s="35">
        <f t="shared" si="14"/>
        <v>590033254.64999998</v>
      </c>
    </row>
    <row r="50" spans="1:11">
      <c r="D50" s="34" t="s">
        <v>94</v>
      </c>
      <c r="G50" s="35">
        <v>130000000</v>
      </c>
      <c r="H50" s="35">
        <v>130000000</v>
      </c>
      <c r="I50" s="47">
        <f t="shared" si="13"/>
        <v>0</v>
      </c>
      <c r="J50" s="39">
        <v>13000000</v>
      </c>
      <c r="K50" s="35">
        <f t="shared" si="14"/>
        <v>117000000</v>
      </c>
    </row>
    <row r="51" spans="1:11">
      <c r="C51" s="34" t="s">
        <v>102</v>
      </c>
      <c r="G51" s="35"/>
      <c r="H51" s="35"/>
      <c r="I51" s="35"/>
      <c r="J51" s="39"/>
      <c r="K51" s="35"/>
    </row>
    <row r="52" spans="1:11">
      <c r="D52" s="34" t="s">
        <v>38</v>
      </c>
      <c r="G52" s="35">
        <v>302958291</v>
      </c>
      <c r="H52" s="35">
        <v>197848403</v>
      </c>
      <c r="I52" s="47">
        <f t="shared" si="13"/>
        <v>105109888</v>
      </c>
      <c r="J52" s="35">
        <v>175577400</v>
      </c>
      <c r="K52" s="35">
        <f t="shared" si="14"/>
        <v>22271003</v>
      </c>
    </row>
    <row r="53" spans="1:11">
      <c r="D53" s="34" t="s">
        <v>94</v>
      </c>
      <c r="G53" s="35">
        <v>692763806.39999998</v>
      </c>
      <c r="H53" s="35">
        <v>802990803.39999998</v>
      </c>
      <c r="I53" s="47">
        <f t="shared" si="13"/>
        <v>-110226997</v>
      </c>
      <c r="J53" s="35">
        <v>277637840</v>
      </c>
      <c r="K53" s="35">
        <f t="shared" si="14"/>
        <v>525352963.39999998</v>
      </c>
    </row>
    <row r="54" spans="1:11">
      <c r="C54" s="34" t="s">
        <v>103</v>
      </c>
      <c r="G54" s="35"/>
      <c r="H54" s="35"/>
      <c r="I54" s="35"/>
      <c r="J54" s="39"/>
      <c r="K54" s="35"/>
    </row>
    <row r="55" spans="1:11">
      <c r="D55" s="34" t="s">
        <v>38</v>
      </c>
      <c r="G55" s="35">
        <v>851500000</v>
      </c>
      <c r="H55" s="35">
        <v>1169350500</v>
      </c>
      <c r="I55" s="47">
        <f t="shared" si="13"/>
        <v>-317850500</v>
      </c>
      <c r="J55" s="39">
        <v>1064624370.97</v>
      </c>
      <c r="K55" s="35">
        <f t="shared" si="14"/>
        <v>104726129.02999997</v>
      </c>
    </row>
    <row r="56" spans="1:11">
      <c r="D56" s="34" t="s">
        <v>94</v>
      </c>
      <c r="G56" s="35">
        <v>0</v>
      </c>
      <c r="H56" s="35">
        <v>0</v>
      </c>
      <c r="I56" s="47">
        <f t="shared" si="13"/>
        <v>0</v>
      </c>
      <c r="J56" s="35">
        <v>0</v>
      </c>
      <c r="K56" s="35">
        <v>0</v>
      </c>
    </row>
    <row r="57" spans="1:11">
      <c r="C57" s="43" t="s">
        <v>118</v>
      </c>
      <c r="G57" s="35"/>
      <c r="H57" s="35"/>
      <c r="I57" s="35"/>
      <c r="J57" s="39"/>
      <c r="K57" s="35"/>
    </row>
    <row r="58" spans="1:11">
      <c r="C58" s="43"/>
      <c r="D58" s="34" t="s">
        <v>37</v>
      </c>
      <c r="G58" s="35"/>
      <c r="H58" s="35"/>
      <c r="I58" s="35"/>
      <c r="J58" s="39"/>
      <c r="K58" s="35"/>
    </row>
    <row r="59" spans="1:11">
      <c r="D59" s="34" t="s">
        <v>38</v>
      </c>
      <c r="G59" s="35">
        <v>10764000</v>
      </c>
      <c r="H59" s="35">
        <v>10764000</v>
      </c>
      <c r="I59" s="47">
        <f t="shared" ref="I59" si="15">G59-H59</f>
        <v>0</v>
      </c>
      <c r="J59" s="39">
        <v>10764000</v>
      </c>
      <c r="K59" s="35">
        <f t="shared" ref="K59" si="16">H59-J59</f>
        <v>0</v>
      </c>
    </row>
    <row r="60" spans="1:11">
      <c r="D60" s="34" t="s">
        <v>94</v>
      </c>
      <c r="G60" s="35"/>
      <c r="H60" s="35"/>
      <c r="I60" s="35"/>
      <c r="J60" s="39"/>
      <c r="K60" s="35"/>
    </row>
    <row r="61" spans="1:11" s="42" customFormat="1">
      <c r="A61" s="41"/>
      <c r="B61" s="41"/>
      <c r="C61" s="41" t="s">
        <v>104</v>
      </c>
      <c r="D61" s="41"/>
      <c r="E61" s="41"/>
      <c r="F61" s="41"/>
      <c r="G61" s="38">
        <f>SUM(G33:G60)</f>
        <v>22762962983.550003</v>
      </c>
      <c r="H61" s="38">
        <f>SUM(H33:H60)</f>
        <v>26040437283.550003</v>
      </c>
      <c r="I61" s="38">
        <f>SUM(I33:I60)</f>
        <v>-3277474300</v>
      </c>
      <c r="J61" s="38">
        <f>SUM(J33:J60)</f>
        <v>20506127301.880005</v>
      </c>
      <c r="K61" s="38">
        <f>SUM(K33:K60)</f>
        <v>5534309981.6699982</v>
      </c>
    </row>
    <row r="62" spans="1:11" s="42" customFormat="1">
      <c r="A62" s="44" t="s">
        <v>128</v>
      </c>
      <c r="B62" s="45"/>
      <c r="C62" s="46"/>
      <c r="D62" s="45"/>
      <c r="E62" s="45"/>
      <c r="F62" s="45"/>
      <c r="G62" s="47"/>
      <c r="H62" s="47"/>
      <c r="I62" s="47"/>
      <c r="J62" s="47"/>
      <c r="K62" s="47"/>
    </row>
    <row r="63" spans="1:11" s="42" customFormat="1">
      <c r="A63" s="44"/>
      <c r="B63" s="44" t="s">
        <v>92</v>
      </c>
      <c r="C63" s="46"/>
      <c r="D63" s="45"/>
      <c r="E63" s="45"/>
      <c r="F63" s="45"/>
      <c r="G63" s="47"/>
      <c r="H63" s="47"/>
      <c r="I63" s="47"/>
      <c r="J63" s="47"/>
      <c r="K63" s="47"/>
    </row>
    <row r="64" spans="1:11" s="42" customFormat="1">
      <c r="A64" s="45"/>
      <c r="B64" s="45"/>
      <c r="C64" s="46"/>
      <c r="D64" s="46" t="s">
        <v>94</v>
      </c>
      <c r="E64" s="45"/>
      <c r="F64" s="45"/>
      <c r="G64" s="48">
        <v>0</v>
      </c>
      <c r="H64" s="48">
        <v>0</v>
      </c>
      <c r="I64" s="47">
        <v>0</v>
      </c>
      <c r="J64" s="49">
        <v>0</v>
      </c>
      <c r="K64" s="47">
        <v>0</v>
      </c>
    </row>
    <row r="65" spans="1:11" s="42" customFormat="1">
      <c r="A65" s="45"/>
      <c r="B65" s="44" t="s">
        <v>105</v>
      </c>
      <c r="C65" s="46"/>
      <c r="D65" s="45"/>
      <c r="E65" s="45"/>
      <c r="F65" s="45"/>
      <c r="G65" s="48"/>
      <c r="H65" s="48"/>
      <c r="I65" s="47"/>
      <c r="J65" s="49"/>
      <c r="K65" s="47"/>
    </row>
    <row r="66" spans="1:11" s="42" customFormat="1">
      <c r="A66" s="45"/>
      <c r="B66" s="45"/>
      <c r="C66" s="46"/>
      <c r="D66" s="46" t="s">
        <v>94</v>
      </c>
      <c r="E66" s="45"/>
      <c r="F66" s="45"/>
      <c r="G66" s="48">
        <v>0</v>
      </c>
      <c r="H66" s="48">
        <v>0</v>
      </c>
      <c r="I66" s="47">
        <v>0</v>
      </c>
      <c r="J66" s="49">
        <v>0</v>
      </c>
      <c r="K66" s="47">
        <v>0</v>
      </c>
    </row>
    <row r="67" spans="1:11" s="42" customFormat="1">
      <c r="A67" s="45"/>
      <c r="B67" s="44" t="s">
        <v>95</v>
      </c>
      <c r="C67" s="46"/>
      <c r="D67" s="45"/>
      <c r="E67" s="45"/>
      <c r="F67" s="45"/>
      <c r="G67" s="48"/>
      <c r="H67" s="48"/>
      <c r="I67" s="47"/>
      <c r="J67" s="49"/>
      <c r="K67" s="47"/>
    </row>
    <row r="68" spans="1:11" s="42" customFormat="1">
      <c r="A68" s="45"/>
      <c r="B68" s="45"/>
      <c r="C68" s="46"/>
      <c r="D68" s="46" t="s">
        <v>94</v>
      </c>
      <c r="E68" s="45"/>
      <c r="F68" s="45"/>
      <c r="G68" s="48">
        <v>0</v>
      </c>
      <c r="H68" s="48">
        <v>0</v>
      </c>
      <c r="I68" s="47">
        <v>0</v>
      </c>
      <c r="J68" s="49">
        <v>0</v>
      </c>
      <c r="K68" s="47">
        <v>0</v>
      </c>
    </row>
    <row r="69" spans="1:11" s="42" customFormat="1">
      <c r="A69" s="45"/>
      <c r="B69" s="44" t="s">
        <v>96</v>
      </c>
      <c r="C69" s="46"/>
      <c r="D69" s="45"/>
      <c r="E69" s="45"/>
      <c r="F69" s="45"/>
      <c r="G69" s="48"/>
      <c r="H69" s="48"/>
      <c r="I69" s="47"/>
      <c r="J69" s="49"/>
      <c r="K69" s="47"/>
    </row>
    <row r="70" spans="1:11" s="42" customFormat="1">
      <c r="A70" s="45"/>
      <c r="B70" s="45"/>
      <c r="C70" s="46"/>
      <c r="D70" s="46" t="s">
        <v>94</v>
      </c>
      <c r="E70" s="45"/>
      <c r="F70" s="45"/>
      <c r="G70" s="48">
        <v>0</v>
      </c>
      <c r="H70" s="48">
        <v>0</v>
      </c>
      <c r="I70" s="47">
        <v>0</v>
      </c>
      <c r="J70" s="49">
        <v>0</v>
      </c>
      <c r="K70" s="47">
        <v>0</v>
      </c>
    </row>
    <row r="71" spans="1:11" s="42" customFormat="1">
      <c r="A71" s="45"/>
      <c r="B71" s="44" t="s">
        <v>97</v>
      </c>
      <c r="C71" s="46"/>
      <c r="D71" s="45"/>
      <c r="E71" s="45"/>
      <c r="F71" s="45"/>
      <c r="G71" s="48"/>
      <c r="H71" s="48"/>
      <c r="I71" s="47"/>
      <c r="J71" s="49"/>
      <c r="K71" s="47"/>
    </row>
    <row r="72" spans="1:11" s="42" customFormat="1">
      <c r="A72" s="45"/>
      <c r="B72" s="45"/>
      <c r="C72" s="46"/>
      <c r="D72" s="46" t="s">
        <v>94</v>
      </c>
      <c r="E72" s="45"/>
      <c r="F72" s="45"/>
      <c r="G72" s="48">
        <v>0</v>
      </c>
      <c r="H72" s="48">
        <v>0</v>
      </c>
      <c r="I72" s="47">
        <v>0</v>
      </c>
      <c r="J72" s="49">
        <v>0</v>
      </c>
      <c r="K72" s="47">
        <v>0</v>
      </c>
    </row>
    <row r="73" spans="1:11" s="42" customFormat="1" hidden="1">
      <c r="A73" s="45"/>
      <c r="B73" s="45"/>
      <c r="C73" s="46" t="s">
        <v>118</v>
      </c>
      <c r="D73" s="45"/>
      <c r="E73" s="45"/>
      <c r="F73" s="45"/>
      <c r="G73" s="48"/>
      <c r="H73" s="48"/>
      <c r="I73" s="47"/>
      <c r="J73" s="49"/>
      <c r="K73" s="47"/>
    </row>
    <row r="74" spans="1:11" s="42" customFormat="1" hidden="1">
      <c r="A74" s="392"/>
      <c r="B74" s="392"/>
      <c r="C74" s="393"/>
      <c r="D74" s="393" t="s">
        <v>94</v>
      </c>
      <c r="E74" s="392"/>
      <c r="F74" s="392"/>
      <c r="G74" s="394">
        <v>0</v>
      </c>
      <c r="H74" s="394">
        <v>0</v>
      </c>
      <c r="I74" s="395">
        <v>0</v>
      </c>
      <c r="J74" s="396">
        <v>0</v>
      </c>
      <c r="K74" s="395">
        <v>0</v>
      </c>
    </row>
    <row r="75" spans="1:11" s="42" customFormat="1">
      <c r="A75" s="398"/>
      <c r="B75" s="398"/>
      <c r="C75" s="397" t="s">
        <v>129</v>
      </c>
      <c r="D75" s="398"/>
      <c r="E75" s="398"/>
      <c r="F75" s="398"/>
      <c r="G75" s="399">
        <v>0</v>
      </c>
      <c r="H75" s="399">
        <v>0</v>
      </c>
      <c r="I75" s="400">
        <v>0</v>
      </c>
      <c r="J75" s="401">
        <v>0</v>
      </c>
      <c r="K75" s="400">
        <v>0</v>
      </c>
    </row>
    <row r="76" spans="1:11">
      <c r="A76" s="41" t="s">
        <v>119</v>
      </c>
      <c r="B76" s="37"/>
      <c r="C76" s="37"/>
      <c r="D76" s="37"/>
      <c r="E76" s="37"/>
      <c r="F76" s="37"/>
      <c r="G76" s="38">
        <f>+G75+G61</f>
        <v>22762962983.550003</v>
      </c>
      <c r="H76" s="38">
        <f>+H75+H61</f>
        <v>26040437283.550003</v>
      </c>
      <c r="I76" s="38">
        <f t="shared" ref="I76:K76" si="17">+I75+I61</f>
        <v>-3277474300</v>
      </c>
      <c r="J76" s="38">
        <f t="shared" si="17"/>
        <v>20506127301.880005</v>
      </c>
      <c r="K76" s="38">
        <f t="shared" si="17"/>
        <v>5534309981.6699982</v>
      </c>
    </row>
    <row r="77" spans="1:11">
      <c r="A77" s="41" t="s">
        <v>43</v>
      </c>
      <c r="B77" s="37"/>
      <c r="C77" s="37"/>
      <c r="D77" s="37"/>
      <c r="E77" s="37"/>
      <c r="F77" s="37"/>
      <c r="G77" s="38">
        <f>+G28-G76</f>
        <v>1993583526.4499969</v>
      </c>
      <c r="H77" s="38">
        <f>+H28-H76</f>
        <v>2004227269.4499969</v>
      </c>
      <c r="I77" s="38">
        <f>+I28-I76</f>
        <v>-10643743</v>
      </c>
      <c r="J77" s="38">
        <f>+J28-J76</f>
        <v>534529182.67999268</v>
      </c>
      <c r="K77" s="38">
        <f>+K28-K76</f>
        <v>1469698086.7700024</v>
      </c>
    </row>
    <row r="78" spans="1:11">
      <c r="G78" s="35"/>
      <c r="H78" s="35"/>
      <c r="I78" s="35"/>
      <c r="J78" s="35"/>
      <c r="K78" s="35"/>
    </row>
    <row r="79" spans="1:11">
      <c r="G79" s="35"/>
      <c r="H79" s="35"/>
      <c r="I79" s="35"/>
      <c r="J79" s="35"/>
      <c r="K79" s="35"/>
    </row>
    <row r="80" spans="1:11">
      <c r="G80" s="35"/>
      <c r="H80" s="35"/>
      <c r="I80" s="35"/>
      <c r="J80" s="35"/>
      <c r="K80" s="35"/>
    </row>
    <row r="81" spans="7:11">
      <c r="G81" s="35"/>
      <c r="H81" s="35"/>
      <c r="I81" s="35"/>
      <c r="J81" s="35"/>
      <c r="K81" s="35"/>
    </row>
    <row r="82" spans="7:11">
      <c r="G82" s="35"/>
      <c r="H82" s="35"/>
      <c r="I82" s="35"/>
      <c r="J82" s="35"/>
      <c r="K82" s="35"/>
    </row>
    <row r="83" spans="7:11">
      <c r="G83" s="35"/>
      <c r="H83" s="35"/>
      <c r="I83" s="35"/>
      <c r="J83" s="35"/>
      <c r="K83" s="35"/>
    </row>
    <row r="84" spans="7:11">
      <c r="G84" s="35"/>
      <c r="H84" s="35"/>
      <c r="I84" s="35"/>
      <c r="J84" s="35"/>
      <c r="K84" s="35"/>
    </row>
    <row r="85" spans="7:11">
      <c r="G85" s="35"/>
      <c r="H85" s="35"/>
    </row>
    <row r="86" spans="7:11">
      <c r="G86" s="35"/>
      <c r="H86" s="35"/>
    </row>
    <row r="87" spans="7:11">
      <c r="G87" s="35"/>
      <c r="H87" s="35"/>
    </row>
    <row r="88" spans="7:11">
      <c r="G88" s="35"/>
      <c r="H88" s="35"/>
    </row>
    <row r="89" spans="7:11">
      <c r="G89" s="35"/>
      <c r="H89" s="35"/>
    </row>
    <row r="90" spans="7:11">
      <c r="G90" s="35"/>
      <c r="H90" s="35"/>
    </row>
    <row r="91" spans="7:11">
      <c r="G91" s="35"/>
      <c r="H91" s="35"/>
    </row>
    <row r="92" spans="7:11">
      <c r="G92" s="35"/>
      <c r="H92" s="35"/>
    </row>
    <row r="93" spans="7:11">
      <c r="G93" s="35"/>
      <c r="H93" s="35"/>
    </row>
  </sheetData>
  <sheetProtection algorithmName="SHA-512" hashValue="YchOIsqeT0MYpPPUIXfGacHgMiJvKq8Eu9E/i+2K1BO4rTWH8u7JQo5hRr799j3g0PBejvdv4p6WH7+BbZzhSA==" saltValue="1Evw2IGskrnWCTReTodAjw==" spinCount="100000" sheet="1" objects="1" scenarios="1" selectLockedCells="1" selectUnlockedCells="1"/>
  <mergeCells count="13">
    <mergeCell ref="A27:B27"/>
    <mergeCell ref="A9:B9"/>
    <mergeCell ref="A22:B22"/>
    <mergeCell ref="A26:B26"/>
    <mergeCell ref="A1:K1"/>
    <mergeCell ref="A2:K2"/>
    <mergeCell ref="A4:K4"/>
    <mergeCell ref="A6:F7"/>
    <mergeCell ref="G6:H6"/>
    <mergeCell ref="I6:I7"/>
    <mergeCell ref="J6:J7"/>
    <mergeCell ref="K6:K7"/>
    <mergeCell ref="A3:K3"/>
  </mergeCells>
  <pageMargins left="1" right="1" top="1.25" bottom="1" header="0.5" footer="0.5"/>
  <pageSetup scale="75" firstPageNumber="9" orientation="landscape" useFirstPageNumber="1" r:id="rId1"/>
  <headerFooter scaleWithDoc="0">
    <oddFooter>&amp;C&amp;"Arial,Regular"&amp;10&amp;P</oddFooter>
    <evenFooter>&amp;C&amp;"Arial,Regular"&amp;10&amp;P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0"/>
  <sheetViews>
    <sheetView zoomScale="85" zoomScaleNormal="85" workbookViewId="0">
      <pane xSplit="4" ySplit="1" topLeftCell="E309" activePane="bottomRight" state="frozen"/>
      <selection activeCell="C656" sqref="C656"/>
      <selection pane="topRight" activeCell="C656" sqref="C656"/>
      <selection pane="bottomLeft" activeCell="C656" sqref="C656"/>
      <selection pane="bottomRight" activeCell="C656" sqref="C656"/>
    </sheetView>
  </sheetViews>
  <sheetFormatPr defaultRowHeight="14.4"/>
  <cols>
    <col min="1" max="1" width="10.44140625" customWidth="1"/>
    <col min="2" max="2" width="33.6640625" customWidth="1"/>
    <col min="3" max="3" width="25.33203125" customWidth="1"/>
    <col min="4" max="4" width="18.5546875" customWidth="1"/>
    <col min="5" max="5" width="4.88671875" customWidth="1"/>
    <col min="6" max="6" width="19.88671875" style="87" customWidth="1"/>
    <col min="7" max="7" width="20.33203125" style="91" customWidth="1"/>
    <col min="8" max="8" width="11.109375" style="103" customWidth="1"/>
    <col min="9" max="9" width="2" customWidth="1"/>
    <col min="10" max="11" width="17.88671875" bestFit="1" customWidth="1"/>
    <col min="12" max="12" width="1" customWidth="1"/>
    <col min="13" max="13" width="17.33203125" style="133" bestFit="1" customWidth="1"/>
    <col min="14" max="14" width="17.33203125" bestFit="1" customWidth="1"/>
    <col min="15" max="16" width="16.44140625" customWidth="1"/>
  </cols>
  <sheetData>
    <row r="1" spans="1:14" ht="28.2" thickBot="1">
      <c r="B1" s="75" t="s">
        <v>144</v>
      </c>
      <c r="C1" s="75">
        <v>2022</v>
      </c>
      <c r="D1" s="75">
        <v>2021</v>
      </c>
      <c r="F1" s="86" t="s">
        <v>158</v>
      </c>
      <c r="G1" s="90" t="s">
        <v>154</v>
      </c>
      <c r="H1" s="75" t="s">
        <v>155</v>
      </c>
      <c r="J1" s="75" t="s">
        <v>157</v>
      </c>
      <c r="K1" s="75" t="s">
        <v>153</v>
      </c>
      <c r="M1" s="132" t="s">
        <v>205</v>
      </c>
      <c r="N1" s="75" t="s">
        <v>206</v>
      </c>
    </row>
    <row r="3" spans="1:14" ht="15" thickBot="1">
      <c r="A3" s="74" t="s">
        <v>143</v>
      </c>
    </row>
    <row r="4" spans="1:14" ht="15" thickBot="1">
      <c r="B4" s="75" t="s">
        <v>144</v>
      </c>
      <c r="C4" s="75">
        <v>2022</v>
      </c>
      <c r="D4" s="75">
        <v>2021</v>
      </c>
      <c r="F4" s="86"/>
      <c r="G4" s="90"/>
      <c r="H4" s="75"/>
      <c r="J4" s="75"/>
      <c r="K4" s="75"/>
    </row>
    <row r="5" spans="1:14">
      <c r="B5" s="76" t="s">
        <v>145</v>
      </c>
      <c r="C5" s="77"/>
      <c r="D5" s="77"/>
      <c r="F5" s="88"/>
      <c r="G5" s="92"/>
      <c r="H5" s="80"/>
      <c r="J5" s="77"/>
      <c r="K5" s="77"/>
    </row>
    <row r="6" spans="1:14">
      <c r="A6" s="108" t="s">
        <v>168</v>
      </c>
      <c r="B6" s="78" t="s">
        <v>146</v>
      </c>
      <c r="C6" s="79">
        <v>74452994.150000006</v>
      </c>
      <c r="D6" s="79">
        <v>24328888.579999998</v>
      </c>
      <c r="F6" s="88">
        <f>+C6-D6</f>
        <v>50124105.570000008</v>
      </c>
      <c r="G6" s="92">
        <f>+F6/D6</f>
        <v>2.06027108082551</v>
      </c>
      <c r="H6" s="104" t="s">
        <v>167</v>
      </c>
      <c r="J6" s="88">
        <v>24328888.579999998</v>
      </c>
      <c r="K6" s="97">
        <f>+D6-J6</f>
        <v>0</v>
      </c>
    </row>
    <row r="7" spans="1:14">
      <c r="A7" s="108" t="s">
        <v>168</v>
      </c>
      <c r="B7" s="78" t="s">
        <v>147</v>
      </c>
      <c r="C7" s="79">
        <v>6763846.0099999998</v>
      </c>
      <c r="D7" s="79">
        <v>6738184.5599999996</v>
      </c>
      <c r="F7" s="88">
        <f t="shared" ref="F7:F12" si="0">+C7-D7</f>
        <v>25661.450000000186</v>
      </c>
      <c r="G7" s="92">
        <f t="shared" ref="G7:G12" si="1">+F7/D7</f>
        <v>3.8083625895815754E-3</v>
      </c>
      <c r="H7" s="104"/>
      <c r="J7" s="88">
        <v>6738184.5599999996</v>
      </c>
      <c r="K7" s="97">
        <f t="shared" ref="K7:K13" si="2">+D7-J7</f>
        <v>0</v>
      </c>
    </row>
    <row r="8" spans="1:14">
      <c r="A8" s="109"/>
      <c r="B8" s="76" t="s">
        <v>148</v>
      </c>
      <c r="C8" s="80"/>
      <c r="D8" s="80"/>
      <c r="F8" s="93"/>
      <c r="G8" s="92"/>
      <c r="H8" s="80"/>
      <c r="J8" s="93"/>
      <c r="K8" s="97">
        <f t="shared" si="2"/>
        <v>0</v>
      </c>
    </row>
    <row r="9" spans="1:14" ht="27.6">
      <c r="A9" s="108" t="s">
        <v>168</v>
      </c>
      <c r="B9" s="81" t="s">
        <v>149</v>
      </c>
      <c r="C9" s="79">
        <v>7211521977.5600004</v>
      </c>
      <c r="D9" s="79">
        <v>7789457875.4799995</v>
      </c>
      <c r="F9" s="88">
        <f t="shared" si="0"/>
        <v>-577935897.91999912</v>
      </c>
      <c r="G9" s="92">
        <f t="shared" si="1"/>
        <v>-7.4194623959550676E-2</v>
      </c>
      <c r="H9" s="104"/>
      <c r="J9" s="88">
        <v>7802046842.8800001</v>
      </c>
      <c r="K9" s="97">
        <f t="shared" si="2"/>
        <v>-12588967.400000572</v>
      </c>
    </row>
    <row r="10" spans="1:14" ht="27.6">
      <c r="A10" s="108" t="s">
        <v>168</v>
      </c>
      <c r="B10" s="81" t="s">
        <v>150</v>
      </c>
      <c r="C10" s="79">
        <v>257912.2</v>
      </c>
      <c r="D10" s="79">
        <v>257912.2</v>
      </c>
      <c r="F10" s="88">
        <f t="shared" si="0"/>
        <v>0</v>
      </c>
      <c r="G10" s="92">
        <f t="shared" si="1"/>
        <v>0</v>
      </c>
      <c r="H10" s="104" t="s">
        <v>237</v>
      </c>
      <c r="J10" s="88">
        <v>257912.2</v>
      </c>
      <c r="K10" s="97">
        <f t="shared" si="2"/>
        <v>0</v>
      </c>
    </row>
    <row r="11" spans="1:14">
      <c r="A11" s="109"/>
      <c r="B11" s="76" t="s">
        <v>151</v>
      </c>
      <c r="C11" s="77"/>
      <c r="D11" s="77"/>
      <c r="F11" s="88"/>
      <c r="G11" s="92"/>
      <c r="H11" s="80"/>
      <c r="J11" s="88"/>
      <c r="K11" s="97">
        <f t="shared" si="2"/>
        <v>0</v>
      </c>
    </row>
    <row r="12" spans="1:14" ht="28.2" thickBot="1">
      <c r="A12" s="108" t="s">
        <v>168</v>
      </c>
      <c r="B12" s="82" t="s">
        <v>152</v>
      </c>
      <c r="C12" s="83">
        <v>1032733502.54</v>
      </c>
      <c r="D12" s="83">
        <v>3031542208.3099999</v>
      </c>
      <c r="F12" s="94">
        <f t="shared" si="0"/>
        <v>-1998808705.77</v>
      </c>
      <c r="G12" s="92">
        <f t="shared" si="1"/>
        <v>-0.6593372509513169</v>
      </c>
      <c r="H12" s="105" t="s">
        <v>237</v>
      </c>
      <c r="J12" s="94">
        <v>3031542208.3099999</v>
      </c>
      <c r="K12" s="97">
        <f t="shared" si="2"/>
        <v>0</v>
      </c>
    </row>
    <row r="13" spans="1:14" ht="15" thickBot="1">
      <c r="A13" s="108" t="s">
        <v>168</v>
      </c>
      <c r="B13" s="84" t="s">
        <v>35</v>
      </c>
      <c r="C13" s="85">
        <v>8325730232.46</v>
      </c>
      <c r="D13" s="85">
        <v>10852325069.129999</v>
      </c>
      <c r="F13" s="89"/>
      <c r="G13" s="95"/>
      <c r="H13" s="106"/>
      <c r="J13" s="85">
        <v>10864914036.530001</v>
      </c>
      <c r="K13" s="97">
        <f t="shared" si="2"/>
        <v>-12588967.400001526</v>
      </c>
    </row>
    <row r="14" spans="1:14">
      <c r="B14" s="96" t="s">
        <v>156</v>
      </c>
      <c r="C14" s="73">
        <f>SUM(C6:C12)</f>
        <v>8325730232.46</v>
      </c>
      <c r="D14" s="73">
        <f>SUM(D6:D12)</f>
        <v>10852325069.129999</v>
      </c>
      <c r="H14" s="107"/>
      <c r="J14" s="73"/>
      <c r="K14" s="73"/>
    </row>
    <row r="15" spans="1:14">
      <c r="B15" s="96" t="s">
        <v>156</v>
      </c>
      <c r="C15" s="73">
        <f>+C13-C14</f>
        <v>0</v>
      </c>
      <c r="D15" s="73">
        <f>+D13-D14</f>
        <v>0</v>
      </c>
      <c r="H15" s="107"/>
      <c r="J15" s="73"/>
      <c r="K15" s="73"/>
    </row>
    <row r="16" spans="1:14">
      <c r="B16" s="108" t="s">
        <v>168</v>
      </c>
      <c r="C16" s="73">
        <v>8325730232.46</v>
      </c>
      <c r="D16" s="73">
        <v>10852325069.129999</v>
      </c>
      <c r="H16" s="107"/>
      <c r="J16" s="73"/>
      <c r="K16" s="73"/>
    </row>
    <row r="17" spans="1:11" ht="15" thickBot="1">
      <c r="B17" s="108" t="s">
        <v>168</v>
      </c>
      <c r="C17" s="73">
        <f>+C13-C16</f>
        <v>0</v>
      </c>
      <c r="D17" s="73">
        <f>+D13-D16</f>
        <v>0</v>
      </c>
      <c r="H17" s="107"/>
      <c r="J17" s="73"/>
      <c r="K17" s="73"/>
    </row>
    <row r="18" spans="1:11" ht="15" thickBot="1">
      <c r="B18" s="75" t="s">
        <v>159</v>
      </c>
      <c r="C18" s="75">
        <v>2022</v>
      </c>
      <c r="D18" s="75">
        <v>2021</v>
      </c>
    </row>
    <row r="19" spans="1:11" ht="15" thickBot="1">
      <c r="B19" s="98" t="s">
        <v>160</v>
      </c>
      <c r="C19" s="83">
        <v>168908255.56</v>
      </c>
      <c r="D19" s="83">
        <v>169919465.66</v>
      </c>
    </row>
    <row r="20" spans="1:11" ht="15" thickBot="1">
      <c r="B20" s="84" t="s">
        <v>35</v>
      </c>
      <c r="C20" s="85">
        <v>168908255.56</v>
      </c>
      <c r="D20" s="85">
        <v>169919465.66</v>
      </c>
    </row>
    <row r="21" spans="1:11" ht="15" thickBot="1">
      <c r="B21" s="96" t="s">
        <v>156</v>
      </c>
      <c r="C21" s="73">
        <f>+C19-C20</f>
        <v>0</v>
      </c>
      <c r="D21" s="73">
        <f>+D19-D20</f>
        <v>0</v>
      </c>
    </row>
    <row r="22" spans="1:11" ht="15" thickBot="1">
      <c r="B22" s="75" t="s">
        <v>161</v>
      </c>
      <c r="C22" s="75">
        <v>2022</v>
      </c>
      <c r="D22" s="75">
        <v>2021</v>
      </c>
    </row>
    <row r="23" spans="1:11" ht="27.6">
      <c r="B23" s="100" t="s">
        <v>162</v>
      </c>
      <c r="C23" s="79">
        <v>47602333.950000003</v>
      </c>
      <c r="D23" s="79">
        <v>1795378657.9300001</v>
      </c>
    </row>
    <row r="24" spans="1:11">
      <c r="B24" s="100" t="s">
        <v>163</v>
      </c>
      <c r="C24" s="79">
        <v>985131168.59000003</v>
      </c>
      <c r="D24" s="79">
        <v>1020312151.3200001</v>
      </c>
    </row>
    <row r="25" spans="1:11">
      <c r="B25" s="100" t="s">
        <v>164</v>
      </c>
      <c r="C25" s="77" t="s">
        <v>165</v>
      </c>
      <c r="D25" s="79">
        <v>108135161.51000001</v>
      </c>
    </row>
    <row r="26" spans="1:11" ht="15" thickBot="1">
      <c r="B26" s="98" t="s">
        <v>166</v>
      </c>
      <c r="C26" s="99" t="s">
        <v>165</v>
      </c>
      <c r="D26" s="83">
        <v>107716237.55</v>
      </c>
    </row>
    <row r="27" spans="1:11" ht="15" thickBot="1">
      <c r="B27" s="84" t="s">
        <v>35</v>
      </c>
      <c r="C27" s="85">
        <v>1032733502.54</v>
      </c>
      <c r="D27" s="85">
        <v>3031542208.3099999</v>
      </c>
    </row>
    <row r="28" spans="1:11">
      <c r="B28" s="96" t="s">
        <v>156</v>
      </c>
      <c r="C28" s="73">
        <f>SUM(C23:C26)</f>
        <v>1032733502.5400001</v>
      </c>
      <c r="D28" s="73">
        <f>SUM(D23:D26)</f>
        <v>3031542208.3100004</v>
      </c>
    </row>
    <row r="29" spans="1:11">
      <c r="B29" s="96" t="s">
        <v>156</v>
      </c>
      <c r="C29" s="73">
        <f>+C27-C28</f>
        <v>0</v>
      </c>
      <c r="D29" s="73">
        <f>+D27-D28</f>
        <v>0</v>
      </c>
    </row>
    <row r="31" spans="1:11" ht="15" thickBot="1">
      <c r="A31" s="74" t="s">
        <v>169</v>
      </c>
    </row>
    <row r="32" spans="1:11" ht="15" thickBot="1">
      <c r="B32" s="75" t="s">
        <v>144</v>
      </c>
      <c r="C32" s="75">
        <v>2022</v>
      </c>
      <c r="D32" s="75">
        <v>2021</v>
      </c>
    </row>
    <row r="33" spans="1:11">
      <c r="A33" s="108" t="s">
        <v>168</v>
      </c>
      <c r="B33" s="100" t="s">
        <v>170</v>
      </c>
      <c r="C33" s="79">
        <v>446250</v>
      </c>
      <c r="D33" s="79">
        <v>446250</v>
      </c>
      <c r="F33" s="88">
        <f t="shared" ref="F33:F35" si="3">+C33-D33</f>
        <v>0</v>
      </c>
      <c r="G33" s="92">
        <f t="shared" ref="G33:G35" si="4">+F33/D33</f>
        <v>0</v>
      </c>
      <c r="J33" s="79">
        <v>446250</v>
      </c>
      <c r="K33" s="79">
        <f t="shared" ref="K33:K36" si="5">+D33-J33</f>
        <v>0</v>
      </c>
    </row>
    <row r="34" spans="1:11">
      <c r="A34" s="108" t="s">
        <v>168</v>
      </c>
      <c r="B34" s="100" t="s">
        <v>171</v>
      </c>
      <c r="C34" s="79">
        <v>24564565.23</v>
      </c>
      <c r="D34" s="79">
        <v>19400358.190000001</v>
      </c>
      <c r="F34" s="88">
        <f t="shared" si="3"/>
        <v>5164207.0399999991</v>
      </c>
      <c r="G34" s="92">
        <f t="shared" si="4"/>
        <v>0.26619132437781029</v>
      </c>
      <c r="J34" s="79">
        <v>19400358.190000001</v>
      </c>
      <c r="K34" s="79">
        <f t="shared" si="5"/>
        <v>0</v>
      </c>
    </row>
    <row r="35" spans="1:11" ht="15" thickBot="1">
      <c r="A35" s="108" t="s">
        <v>168</v>
      </c>
      <c r="B35" s="98" t="s">
        <v>172</v>
      </c>
      <c r="C35" s="83">
        <v>1404067841.72</v>
      </c>
      <c r="D35" s="83">
        <v>1404067841.72</v>
      </c>
      <c r="F35" s="88">
        <f t="shared" si="3"/>
        <v>0</v>
      </c>
      <c r="G35" s="92">
        <f t="shared" si="4"/>
        <v>0</v>
      </c>
      <c r="J35" s="83">
        <v>1404067841.72</v>
      </c>
      <c r="K35" s="83">
        <f t="shared" si="5"/>
        <v>0</v>
      </c>
    </row>
    <row r="36" spans="1:11" ht="15" thickBot="1">
      <c r="B36" s="84" t="s">
        <v>35</v>
      </c>
      <c r="C36" s="85">
        <v>1429078656.95</v>
      </c>
      <c r="D36" s="85">
        <v>1423914449.9100001</v>
      </c>
      <c r="J36" s="85">
        <v>1423914449.9100001</v>
      </c>
      <c r="K36" s="85">
        <f t="shared" si="5"/>
        <v>0</v>
      </c>
    </row>
    <row r="37" spans="1:11">
      <c r="B37" s="96" t="s">
        <v>156</v>
      </c>
      <c r="C37" s="73">
        <f>SUM(C33:C35)</f>
        <v>1429078656.95</v>
      </c>
      <c r="D37" s="73">
        <f>SUM(D33:D35)</f>
        <v>1423914449.9100001</v>
      </c>
    </row>
    <row r="38" spans="1:11">
      <c r="B38" s="96" t="s">
        <v>156</v>
      </c>
      <c r="C38" s="73">
        <f>+C36-C37</f>
        <v>0</v>
      </c>
      <c r="D38" s="73">
        <f>+D36-D37</f>
        <v>0</v>
      </c>
    </row>
    <row r="39" spans="1:11">
      <c r="B39" s="108" t="s">
        <v>168</v>
      </c>
      <c r="C39" s="73">
        <v>1429078656.95</v>
      </c>
      <c r="D39" s="73">
        <v>1423914449.9100001</v>
      </c>
    </row>
    <row r="40" spans="1:11" ht="15" thickBot="1">
      <c r="B40" s="108" t="s">
        <v>168</v>
      </c>
      <c r="C40" s="73">
        <f>+C36-C39</f>
        <v>0</v>
      </c>
      <c r="D40" s="73">
        <f>+D36-D39</f>
        <v>0</v>
      </c>
    </row>
    <row r="41" spans="1:11" ht="15" thickBot="1">
      <c r="B41" s="75" t="s">
        <v>173</v>
      </c>
      <c r="C41" s="75" t="s">
        <v>174</v>
      </c>
    </row>
    <row r="42" spans="1:11">
      <c r="B42" s="110" t="s">
        <v>175</v>
      </c>
      <c r="C42" s="79">
        <v>73790400</v>
      </c>
    </row>
    <row r="43" spans="1:11">
      <c r="B43" s="110" t="s">
        <v>176</v>
      </c>
      <c r="C43" s="79">
        <v>47593600</v>
      </c>
    </row>
    <row r="44" spans="1:11">
      <c r="B44" s="110" t="s">
        <v>177</v>
      </c>
      <c r="C44" s="79">
        <v>30368000</v>
      </c>
    </row>
    <row r="45" spans="1:11">
      <c r="B45" s="110" t="s">
        <v>178</v>
      </c>
      <c r="C45" s="79">
        <v>23280000</v>
      </c>
    </row>
    <row r="46" spans="1:11">
      <c r="B46" s="110" t="s">
        <v>179</v>
      </c>
      <c r="C46" s="79">
        <v>75000000</v>
      </c>
    </row>
    <row r="47" spans="1:11">
      <c r="B47" s="110" t="s">
        <v>180</v>
      </c>
      <c r="C47" s="79">
        <v>135987807.05000001</v>
      </c>
    </row>
    <row r="48" spans="1:11">
      <c r="B48" s="110" t="s">
        <v>181</v>
      </c>
      <c r="C48" s="79">
        <v>37628834.670000002</v>
      </c>
    </row>
    <row r="49" spans="1:16">
      <c r="B49" s="110" t="s">
        <v>182</v>
      </c>
      <c r="C49" s="79">
        <v>456048000</v>
      </c>
    </row>
    <row r="50" spans="1:16" ht="15" thickBot="1">
      <c r="B50" s="111" t="s">
        <v>183</v>
      </c>
      <c r="C50" s="83">
        <v>524371200</v>
      </c>
    </row>
    <row r="51" spans="1:16" ht="15" thickBot="1">
      <c r="B51" s="112" t="s">
        <v>35</v>
      </c>
      <c r="C51" s="85">
        <v>1404067841.72</v>
      </c>
    </row>
    <row r="52" spans="1:16">
      <c r="B52" s="96" t="s">
        <v>156</v>
      </c>
      <c r="C52" s="73">
        <f>SUM(C42:C50)</f>
        <v>1404067841.72</v>
      </c>
    </row>
    <row r="53" spans="1:16">
      <c r="B53" s="96" t="s">
        <v>156</v>
      </c>
      <c r="C53" s="73">
        <f>+C51-C52</f>
        <v>0</v>
      </c>
    </row>
    <row r="54" spans="1:16" ht="15" thickBot="1">
      <c r="A54" s="74" t="s">
        <v>184</v>
      </c>
    </row>
    <row r="55" spans="1:16" ht="15" thickBot="1">
      <c r="B55" s="75" t="s">
        <v>144</v>
      </c>
      <c r="C55" s="75">
        <v>2022</v>
      </c>
      <c r="D55" s="75">
        <v>2021</v>
      </c>
    </row>
    <row r="56" spans="1:16">
      <c r="B56" s="430" t="s">
        <v>185</v>
      </c>
      <c r="C56" s="430"/>
      <c r="D56" s="77"/>
    </row>
    <row r="57" spans="1:16">
      <c r="A57" s="108" t="s">
        <v>168</v>
      </c>
      <c r="B57" s="81" t="s">
        <v>186</v>
      </c>
      <c r="C57" s="79">
        <v>303128666.81</v>
      </c>
      <c r="D57" s="79">
        <v>322277191.19999999</v>
      </c>
      <c r="F57" s="88">
        <f t="shared" ref="F57:F80" si="6">+C57-D57</f>
        <v>-19148524.389999986</v>
      </c>
      <c r="G57" s="92">
        <f t="shared" ref="G57:G80" si="7">+F57/D57</f>
        <v>-5.9416318972808482E-2</v>
      </c>
      <c r="J57" s="79">
        <v>322277191.19999999</v>
      </c>
      <c r="K57" s="79">
        <f t="shared" ref="K57:K81" si="8">+D57-J57</f>
        <v>0</v>
      </c>
      <c r="M57" s="131">
        <v>303128666.81</v>
      </c>
      <c r="N57" s="73">
        <v>322277191.19999999</v>
      </c>
      <c r="O57" s="73">
        <f>+C57-M57</f>
        <v>0</v>
      </c>
      <c r="P57" s="73">
        <f>+D57-N57</f>
        <v>0</v>
      </c>
    </row>
    <row r="58" spans="1:16">
      <c r="A58" s="115"/>
      <c r="B58" s="81" t="s">
        <v>187</v>
      </c>
      <c r="C58" s="79">
        <v>11388071632.27</v>
      </c>
      <c r="D58" s="79">
        <v>8858945073.9500008</v>
      </c>
      <c r="F58" s="88">
        <f t="shared" si="6"/>
        <v>2529126558.3199997</v>
      </c>
      <c r="G58" s="92">
        <f t="shared" si="7"/>
        <v>0.2854884568318381</v>
      </c>
      <c r="J58" s="79">
        <v>7024061617.4899998</v>
      </c>
      <c r="K58" s="79">
        <f t="shared" si="8"/>
        <v>1834883456.460001</v>
      </c>
      <c r="M58" s="129">
        <v>8497017333.4899998</v>
      </c>
      <c r="N58" s="117">
        <v>6993558060.9200001</v>
      </c>
      <c r="O58" s="73">
        <f t="shared" ref="O58:O63" si="9">+C58-M58</f>
        <v>2891054298.7800007</v>
      </c>
      <c r="P58" s="73">
        <f t="shared" ref="P58:P63" si="10">+D58-N58</f>
        <v>1865387013.0300007</v>
      </c>
    </row>
    <row r="59" spans="1:16" ht="27.6">
      <c r="A59" s="115"/>
      <c r="B59" s="81" t="s">
        <v>188</v>
      </c>
      <c r="C59" s="79">
        <v>5940901605.4300003</v>
      </c>
      <c r="D59" s="79">
        <v>5783663307.7299995</v>
      </c>
      <c r="F59" s="88">
        <f t="shared" si="6"/>
        <v>157238297.70000076</v>
      </c>
      <c r="G59" s="92">
        <f t="shared" si="7"/>
        <v>2.7186627113969124E-2</v>
      </c>
      <c r="J59" s="79">
        <v>3514868582.1500001</v>
      </c>
      <c r="K59" s="79">
        <f t="shared" si="8"/>
        <v>2268794725.5799994</v>
      </c>
      <c r="M59" s="129">
        <v>6922587918</v>
      </c>
      <c r="N59" s="117">
        <v>6390913391.6899996</v>
      </c>
      <c r="O59" s="73">
        <f t="shared" si="9"/>
        <v>-981686312.56999969</v>
      </c>
      <c r="P59" s="73">
        <f t="shared" si="10"/>
        <v>-607250083.96000004</v>
      </c>
    </row>
    <row r="60" spans="1:16">
      <c r="A60" s="108" t="s">
        <v>168</v>
      </c>
      <c r="B60" s="81" t="s">
        <v>189</v>
      </c>
      <c r="C60" s="79">
        <v>200178534.59</v>
      </c>
      <c r="D60" s="79">
        <v>200178534.59</v>
      </c>
      <c r="F60" s="88">
        <f t="shared" si="6"/>
        <v>0</v>
      </c>
      <c r="G60" s="92">
        <f t="shared" si="7"/>
        <v>0</v>
      </c>
      <c r="H60" s="103" t="s">
        <v>238</v>
      </c>
      <c r="J60" s="79">
        <v>200178534.59</v>
      </c>
      <c r="K60" s="79">
        <f t="shared" si="8"/>
        <v>0</v>
      </c>
      <c r="M60" s="131">
        <v>200178534.59</v>
      </c>
      <c r="N60" s="73">
        <v>200178534.59</v>
      </c>
      <c r="O60" s="73">
        <f t="shared" si="9"/>
        <v>0</v>
      </c>
      <c r="P60" s="73">
        <f t="shared" si="10"/>
        <v>0</v>
      </c>
    </row>
    <row r="61" spans="1:16">
      <c r="B61" s="76" t="s">
        <v>190</v>
      </c>
      <c r="C61" s="113">
        <v>17832280439.099998</v>
      </c>
      <c r="D61" s="113">
        <v>15165064107.469999</v>
      </c>
      <c r="F61" s="88">
        <f t="shared" si="6"/>
        <v>2667216331.6299992</v>
      </c>
      <c r="G61" s="92">
        <f t="shared" si="7"/>
        <v>0.17587900141590454</v>
      </c>
      <c r="J61" s="113">
        <v>11061385925.43</v>
      </c>
      <c r="K61" s="113">
        <f t="shared" si="8"/>
        <v>4103678182.039999</v>
      </c>
      <c r="M61" s="129"/>
      <c r="N61" s="117"/>
      <c r="O61" s="73">
        <f t="shared" si="9"/>
        <v>17832280439.099998</v>
      </c>
      <c r="P61" s="73">
        <f t="shared" si="10"/>
        <v>15165064107.469999</v>
      </c>
    </row>
    <row r="62" spans="1:16">
      <c r="B62" s="76" t="s">
        <v>191</v>
      </c>
      <c r="C62" s="77"/>
      <c r="D62" s="77"/>
      <c r="F62" s="88"/>
      <c r="G62" s="92"/>
      <c r="J62" s="77"/>
      <c r="K62" s="77">
        <f t="shared" si="8"/>
        <v>0</v>
      </c>
      <c r="O62" s="73">
        <f t="shared" si="9"/>
        <v>0</v>
      </c>
      <c r="P62" s="73">
        <f t="shared" si="10"/>
        <v>0</v>
      </c>
    </row>
    <row r="63" spans="1:16">
      <c r="A63" s="108" t="s">
        <v>168</v>
      </c>
      <c r="B63" s="81" t="s">
        <v>192</v>
      </c>
      <c r="C63" s="79">
        <v>77358375.75</v>
      </c>
      <c r="D63" s="79">
        <v>77410239.150000006</v>
      </c>
      <c r="F63" s="88">
        <f t="shared" si="6"/>
        <v>-51863.40000000596</v>
      </c>
      <c r="G63" s="92">
        <f t="shared" si="7"/>
        <v>-6.6998113646837842E-4</v>
      </c>
      <c r="J63" s="79">
        <v>77410239.150000006</v>
      </c>
      <c r="K63" s="79">
        <f t="shared" si="8"/>
        <v>0</v>
      </c>
      <c r="M63" s="131">
        <v>77358375.75</v>
      </c>
      <c r="N63" s="73">
        <v>77410239.150000006</v>
      </c>
      <c r="O63" s="73">
        <f t="shared" si="9"/>
        <v>0</v>
      </c>
      <c r="P63" s="73">
        <f t="shared" si="10"/>
        <v>0</v>
      </c>
    </row>
    <row r="64" spans="1:16">
      <c r="B64" s="76" t="s">
        <v>190</v>
      </c>
      <c r="C64" s="113">
        <v>77358375.75</v>
      </c>
      <c r="D64" s="113">
        <v>77410239.150000006</v>
      </c>
      <c r="F64" s="88">
        <f t="shared" si="6"/>
        <v>-51863.40000000596</v>
      </c>
      <c r="G64" s="92">
        <f t="shared" si="7"/>
        <v>-6.6998113646837842E-4</v>
      </c>
      <c r="J64" s="113">
        <v>77410239.150000006</v>
      </c>
      <c r="K64" s="113">
        <f t="shared" si="8"/>
        <v>0</v>
      </c>
    </row>
    <row r="65" spans="1:16">
      <c r="B65" s="76" t="s">
        <v>193</v>
      </c>
      <c r="C65" s="77"/>
      <c r="D65" s="77"/>
      <c r="F65" s="88"/>
      <c r="G65" s="92"/>
      <c r="J65" s="77"/>
      <c r="K65" s="77">
        <f t="shared" si="8"/>
        <v>0</v>
      </c>
    </row>
    <row r="66" spans="1:16" ht="27.6">
      <c r="A66" s="108" t="s">
        <v>168</v>
      </c>
      <c r="B66" s="81" t="s">
        <v>194</v>
      </c>
      <c r="C66" s="79">
        <v>338507083.06999999</v>
      </c>
      <c r="D66" s="79">
        <v>323531184.69999999</v>
      </c>
      <c r="F66" s="88">
        <f t="shared" si="6"/>
        <v>14975898.370000005</v>
      </c>
      <c r="G66" s="92">
        <f t="shared" si="7"/>
        <v>4.6288886754105855E-2</v>
      </c>
      <c r="J66" s="79">
        <v>323531184.69999999</v>
      </c>
      <c r="K66" s="79">
        <f t="shared" si="8"/>
        <v>0</v>
      </c>
      <c r="M66" s="131">
        <v>338507083.06999999</v>
      </c>
      <c r="N66" s="73">
        <v>323531184.69999999</v>
      </c>
      <c r="O66" s="73">
        <f t="shared" ref="O66:O69" si="11">+C66-M66</f>
        <v>0</v>
      </c>
      <c r="P66" s="73">
        <f t="shared" ref="P66:P69" si="12">+D66-N66</f>
        <v>0</v>
      </c>
    </row>
    <row r="67" spans="1:16" ht="27.6">
      <c r="A67" s="108" t="s">
        <v>168</v>
      </c>
      <c r="B67" s="81" t="s">
        <v>195</v>
      </c>
      <c r="C67" s="79">
        <v>52244521.270000003</v>
      </c>
      <c r="D67" s="79">
        <v>11131382.58</v>
      </c>
      <c r="F67" s="88">
        <f t="shared" si="6"/>
        <v>41113138.690000005</v>
      </c>
      <c r="G67" s="92">
        <f t="shared" si="7"/>
        <v>3.6934440438574887</v>
      </c>
      <c r="H67" s="103" t="s">
        <v>237</v>
      </c>
      <c r="J67" s="79">
        <v>161196382.36000001</v>
      </c>
      <c r="K67" s="79">
        <f t="shared" si="8"/>
        <v>-150064999.78</v>
      </c>
      <c r="M67" s="131">
        <v>52244521.270000003</v>
      </c>
      <c r="N67" s="73">
        <v>11131382.58</v>
      </c>
      <c r="O67" s="73">
        <f t="shared" si="11"/>
        <v>0</v>
      </c>
      <c r="P67" s="73">
        <f t="shared" si="12"/>
        <v>0</v>
      </c>
    </row>
    <row r="68" spans="1:16" ht="27.6">
      <c r="A68" s="108" t="s">
        <v>168</v>
      </c>
      <c r="B68" s="81" t="s">
        <v>196</v>
      </c>
      <c r="C68" s="79">
        <v>77717364.939999998</v>
      </c>
      <c r="D68" s="79">
        <v>77717364.939999998</v>
      </c>
      <c r="F68" s="88">
        <f t="shared" si="6"/>
        <v>0</v>
      </c>
      <c r="G68" s="92">
        <f t="shared" si="7"/>
        <v>0</v>
      </c>
      <c r="H68" s="103" t="s">
        <v>238</v>
      </c>
      <c r="J68" s="79">
        <v>77717364.939999998</v>
      </c>
      <c r="K68" s="79">
        <f t="shared" si="8"/>
        <v>0</v>
      </c>
      <c r="M68" s="131">
        <v>77717364.939999998</v>
      </c>
      <c r="N68" s="73">
        <v>77717364.939999998</v>
      </c>
      <c r="O68" s="73">
        <f t="shared" si="11"/>
        <v>0</v>
      </c>
      <c r="P68" s="73">
        <f t="shared" si="12"/>
        <v>0</v>
      </c>
    </row>
    <row r="69" spans="1:16">
      <c r="A69" s="108" t="s">
        <v>168</v>
      </c>
      <c r="B69" s="81" t="s">
        <v>197</v>
      </c>
      <c r="C69" s="79">
        <v>60484568.700000003</v>
      </c>
      <c r="D69" s="79">
        <v>60484468.700000003</v>
      </c>
      <c r="F69" s="88">
        <f t="shared" si="6"/>
        <v>100</v>
      </c>
      <c r="G69" s="92">
        <f t="shared" si="7"/>
        <v>1.6533169944171139E-6</v>
      </c>
      <c r="J69" s="79">
        <v>60484468.700000003</v>
      </c>
      <c r="K69" s="79">
        <f t="shared" si="8"/>
        <v>0</v>
      </c>
      <c r="M69" s="131">
        <v>60484568.700000003</v>
      </c>
      <c r="N69" s="73">
        <v>60484468.700000003</v>
      </c>
      <c r="O69" s="73">
        <f t="shared" si="11"/>
        <v>0</v>
      </c>
      <c r="P69" s="73">
        <f t="shared" si="12"/>
        <v>0</v>
      </c>
    </row>
    <row r="70" spans="1:16">
      <c r="B70" s="76" t="s">
        <v>190</v>
      </c>
      <c r="C70" s="113">
        <v>528953537.98000002</v>
      </c>
      <c r="D70" s="113">
        <v>472864400.92000002</v>
      </c>
      <c r="F70" s="88">
        <f t="shared" si="6"/>
        <v>56089137.060000002</v>
      </c>
      <c r="G70" s="92">
        <f t="shared" si="7"/>
        <v>0.11861568972177555</v>
      </c>
      <c r="J70" s="113">
        <v>622929400.70000005</v>
      </c>
      <c r="K70" s="113">
        <f t="shared" si="8"/>
        <v>-150064999.78000003</v>
      </c>
      <c r="M70" s="131"/>
      <c r="N70" s="73"/>
      <c r="O70" s="73"/>
      <c r="P70" s="73"/>
    </row>
    <row r="71" spans="1:16">
      <c r="B71" s="76" t="s">
        <v>198</v>
      </c>
      <c r="C71" s="77"/>
      <c r="D71" s="77"/>
      <c r="F71" s="88"/>
      <c r="G71" s="92"/>
      <c r="J71" s="77"/>
      <c r="K71" s="77">
        <f t="shared" si="8"/>
        <v>0</v>
      </c>
    </row>
    <row r="72" spans="1:16">
      <c r="A72" s="108" t="s">
        <v>168</v>
      </c>
      <c r="B72" s="81" t="s">
        <v>199</v>
      </c>
      <c r="C72" s="79">
        <v>8043746.6299999999</v>
      </c>
      <c r="D72" s="79">
        <v>8623335.1300000008</v>
      </c>
      <c r="F72" s="88">
        <f t="shared" si="6"/>
        <v>-579588.50000000093</v>
      </c>
      <c r="G72" s="92">
        <f t="shared" si="7"/>
        <v>-6.7211640422468522E-2</v>
      </c>
      <c r="J72" s="79">
        <v>8623335.1300000008</v>
      </c>
      <c r="K72" s="79">
        <f t="shared" si="8"/>
        <v>0</v>
      </c>
      <c r="M72" s="131">
        <v>8043746.6299999999</v>
      </c>
      <c r="N72" s="73">
        <v>8623335.1300000008</v>
      </c>
      <c r="O72" s="73">
        <f t="shared" ref="O72:O74" si="13">+C72-M72</f>
        <v>0</v>
      </c>
      <c r="P72" s="73">
        <f t="shared" ref="P72:P74" si="14">+D72-N72</f>
        <v>0</v>
      </c>
    </row>
    <row r="73" spans="1:16" ht="27.6">
      <c r="A73" s="108" t="s">
        <v>168</v>
      </c>
      <c r="B73" s="81" t="s">
        <v>200</v>
      </c>
      <c r="C73" s="79">
        <v>94840965.510000005</v>
      </c>
      <c r="D73" s="79">
        <v>105685990.09</v>
      </c>
      <c r="F73" s="88">
        <f t="shared" si="6"/>
        <v>-10845024.579999998</v>
      </c>
      <c r="G73" s="92">
        <f t="shared" si="7"/>
        <v>-0.10261553656037664</v>
      </c>
      <c r="J73" s="79">
        <v>184982292.69999999</v>
      </c>
      <c r="K73" s="79">
        <f t="shared" si="8"/>
        <v>-79296302.609999985</v>
      </c>
      <c r="M73" s="131">
        <v>94840965.510000005</v>
      </c>
      <c r="N73" s="73">
        <v>105685990.09</v>
      </c>
      <c r="O73" s="73">
        <f t="shared" si="13"/>
        <v>0</v>
      </c>
      <c r="P73" s="73">
        <f t="shared" si="14"/>
        <v>0</v>
      </c>
    </row>
    <row r="74" spans="1:16" ht="27.6">
      <c r="A74" s="108" t="s">
        <v>168</v>
      </c>
      <c r="B74" s="81" t="s">
        <v>201</v>
      </c>
      <c r="C74" s="79">
        <v>3204992.92</v>
      </c>
      <c r="D74" s="79">
        <v>3119326.02</v>
      </c>
      <c r="F74" s="88">
        <f t="shared" si="6"/>
        <v>85666.899999999907</v>
      </c>
      <c r="G74" s="92">
        <f t="shared" si="7"/>
        <v>2.7463272338554695E-2</v>
      </c>
      <c r="J74" s="79">
        <v>3119326.02</v>
      </c>
      <c r="K74" s="79">
        <f t="shared" si="8"/>
        <v>0</v>
      </c>
      <c r="M74" s="131">
        <v>3204992.92</v>
      </c>
      <c r="N74" s="73">
        <v>3119326.02</v>
      </c>
      <c r="O74" s="73">
        <f t="shared" si="13"/>
        <v>0</v>
      </c>
      <c r="P74" s="73">
        <f t="shared" si="14"/>
        <v>0</v>
      </c>
    </row>
    <row r="75" spans="1:16">
      <c r="B75" s="76" t="s">
        <v>190</v>
      </c>
      <c r="C75" s="113">
        <v>106089705.06</v>
      </c>
      <c r="D75" s="113">
        <v>117428651.23999999</v>
      </c>
      <c r="F75" s="88">
        <f t="shared" si="6"/>
        <v>-11338946.179999992</v>
      </c>
      <c r="G75" s="92">
        <f t="shared" si="7"/>
        <v>-9.6560303301325673E-2</v>
      </c>
      <c r="J75" s="113">
        <v>196724953.84999999</v>
      </c>
      <c r="K75" s="113">
        <f t="shared" si="8"/>
        <v>-79296302.609999999</v>
      </c>
    </row>
    <row r="76" spans="1:16">
      <c r="B76" s="76" t="s">
        <v>202</v>
      </c>
      <c r="C76" s="77"/>
      <c r="D76" s="77"/>
      <c r="F76" s="88"/>
      <c r="G76" s="92"/>
      <c r="J76" s="77"/>
      <c r="K76" s="77">
        <f t="shared" si="8"/>
        <v>0</v>
      </c>
    </row>
    <row r="77" spans="1:16" ht="27.6">
      <c r="A77" s="108" t="s">
        <v>168</v>
      </c>
      <c r="B77" s="81" t="s">
        <v>203</v>
      </c>
      <c r="C77" s="79">
        <v>1972954.21</v>
      </c>
      <c r="D77" s="79">
        <v>1972954.21</v>
      </c>
      <c r="F77" s="88">
        <f t="shared" si="6"/>
        <v>0</v>
      </c>
      <c r="G77" s="92">
        <f t="shared" si="7"/>
        <v>0</v>
      </c>
      <c r="J77" s="79">
        <v>1972954.21</v>
      </c>
      <c r="K77" s="79">
        <f t="shared" si="8"/>
        <v>0</v>
      </c>
      <c r="M77" s="131">
        <v>1972954.21</v>
      </c>
      <c r="N77" s="73">
        <v>1972954.21</v>
      </c>
      <c r="O77" s="73">
        <f t="shared" ref="O77:O79" si="15">+C77-M77</f>
        <v>0</v>
      </c>
      <c r="P77" s="73">
        <f t="shared" ref="P77:P79" si="16">+D77-N77</f>
        <v>0</v>
      </c>
    </row>
    <row r="78" spans="1:16" ht="27.6">
      <c r="A78" s="108" t="s">
        <v>168</v>
      </c>
      <c r="B78" s="81" t="s">
        <v>204</v>
      </c>
      <c r="C78" s="79">
        <v>17743.560000000001</v>
      </c>
      <c r="D78" s="79">
        <v>1292007.3999999999</v>
      </c>
      <c r="F78" s="88">
        <f t="shared" si="6"/>
        <v>-1274263.8399999999</v>
      </c>
      <c r="G78" s="92">
        <f t="shared" si="7"/>
        <v>-0.98626667308561855</v>
      </c>
      <c r="H78" s="103" t="s">
        <v>238</v>
      </c>
      <c r="J78" s="79">
        <v>17743.560000000001</v>
      </c>
      <c r="K78" s="79">
        <f t="shared" si="8"/>
        <v>1274263.8399999999</v>
      </c>
      <c r="M78" s="131">
        <v>17743.560000000001</v>
      </c>
      <c r="N78" s="73">
        <v>1292007.3999999999</v>
      </c>
      <c r="O78" s="73">
        <f t="shared" si="15"/>
        <v>0</v>
      </c>
      <c r="P78" s="73">
        <f t="shared" si="16"/>
        <v>0</v>
      </c>
    </row>
    <row r="79" spans="1:16">
      <c r="A79" s="108" t="s">
        <v>168</v>
      </c>
      <c r="B79" s="81" t="s">
        <v>202</v>
      </c>
      <c r="C79" s="79">
        <v>1312683910.46</v>
      </c>
      <c r="D79" s="79">
        <v>1887203742.8699999</v>
      </c>
      <c r="F79" s="88">
        <f t="shared" si="6"/>
        <v>-574519832.40999985</v>
      </c>
      <c r="G79" s="92">
        <f t="shared" si="7"/>
        <v>-0.3044291505782456</v>
      </c>
      <c r="H79" s="103" t="s">
        <v>237</v>
      </c>
      <c r="J79" s="79">
        <v>1887167515.9100001</v>
      </c>
      <c r="K79" s="79">
        <f t="shared" si="8"/>
        <v>36226.959999799728</v>
      </c>
      <c r="M79" s="131">
        <v>1312683910.46</v>
      </c>
      <c r="N79" s="73">
        <v>1887203742.8699999</v>
      </c>
      <c r="O79" s="73">
        <f t="shared" si="15"/>
        <v>0</v>
      </c>
      <c r="P79" s="73">
        <f t="shared" si="16"/>
        <v>0</v>
      </c>
    </row>
    <row r="80" spans="1:16" ht="15" thickBot="1">
      <c r="B80" s="112" t="s">
        <v>190</v>
      </c>
      <c r="C80" s="85">
        <v>1314674608.23</v>
      </c>
      <c r="D80" s="85">
        <v>1890468704.48</v>
      </c>
      <c r="F80" s="88">
        <f t="shared" si="6"/>
        <v>-575794096.25</v>
      </c>
      <c r="G80" s="92">
        <f t="shared" si="7"/>
        <v>-0.30457742827770334</v>
      </c>
      <c r="J80" s="85">
        <v>1889158213.6800001</v>
      </c>
      <c r="K80" s="85">
        <f t="shared" si="8"/>
        <v>1310490.7999999523</v>
      </c>
    </row>
    <row r="81" spans="2:14" ht="15" thickBot="1">
      <c r="B81" s="84" t="s">
        <v>35</v>
      </c>
      <c r="C81" s="85">
        <v>19859356666.119999</v>
      </c>
      <c r="D81" s="85">
        <v>17723236103.259998</v>
      </c>
      <c r="J81" s="85">
        <v>13847608732.809999</v>
      </c>
      <c r="K81" s="85">
        <f t="shared" si="8"/>
        <v>3875627370.4499989</v>
      </c>
    </row>
    <row r="82" spans="2:14">
      <c r="B82" s="96" t="s">
        <v>156</v>
      </c>
      <c r="C82" s="73">
        <f>SUM(C57:C60,C63,C66:C69,C72:C74,C77:C79)</f>
        <v>19859356666.119999</v>
      </c>
      <c r="D82" s="73">
        <f>SUM(D57:D60,D63,D66:D69,D72:D74,D77:D79)</f>
        <v>17723236103.260002</v>
      </c>
      <c r="M82" s="131">
        <f>SUM(M57:M81)</f>
        <v>17949988679.91</v>
      </c>
      <c r="N82" s="73">
        <f>SUM(N57:N81)</f>
        <v>16465099174.189999</v>
      </c>
    </row>
    <row r="83" spans="2:14">
      <c r="B83" s="96" t="s">
        <v>156</v>
      </c>
      <c r="C83" s="73">
        <f>+C81-C82</f>
        <v>0</v>
      </c>
      <c r="D83" s="73">
        <f>+D81-D82</f>
        <v>0</v>
      </c>
      <c r="M83" s="131">
        <f>+C86</f>
        <v>3811635092.1199999</v>
      </c>
      <c r="N83" s="73">
        <f>+D86</f>
        <v>2709803125.2199998</v>
      </c>
    </row>
    <row r="84" spans="2:14">
      <c r="B84" s="108" t="s">
        <v>168</v>
      </c>
      <c r="C84" s="73">
        <f>+M82</f>
        <v>17949988679.91</v>
      </c>
      <c r="D84" s="73">
        <f>+N82</f>
        <v>16465099174.189999</v>
      </c>
      <c r="M84" s="131">
        <f>SUM(M82:M83)</f>
        <v>21761623772.029999</v>
      </c>
      <c r="N84" s="73">
        <f>SUM(N82:N83)</f>
        <v>19174902299.41</v>
      </c>
    </row>
    <row r="85" spans="2:14">
      <c r="B85" s="108" t="s">
        <v>168</v>
      </c>
      <c r="C85" s="117">
        <f>+C81-C84</f>
        <v>1909367986.2099991</v>
      </c>
      <c r="D85" s="117">
        <f>+D81-D84</f>
        <v>1258136929.0699997</v>
      </c>
    </row>
    <row r="86" spans="2:14">
      <c r="B86" s="116" t="s">
        <v>207</v>
      </c>
      <c r="C86" s="118">
        <v>3811635092.1199999</v>
      </c>
      <c r="D86" s="118">
        <v>2709803125.2199998</v>
      </c>
    </row>
    <row r="87" spans="2:14">
      <c r="B87" s="116" t="s">
        <v>382</v>
      </c>
      <c r="C87" s="118">
        <v>3811635092.8699999</v>
      </c>
      <c r="D87" s="118">
        <v>2709803124.7399998</v>
      </c>
    </row>
    <row r="88" spans="2:14" ht="15" thickBot="1">
      <c r="C88" s="73"/>
      <c r="D88" s="73"/>
      <c r="F88" s="155"/>
      <c r="G88" s="156"/>
    </row>
    <row r="89" spans="2:14" ht="15" thickBot="1">
      <c r="B89" s="119" t="s">
        <v>208</v>
      </c>
      <c r="C89" s="121" t="s">
        <v>174</v>
      </c>
    </row>
    <row r="90" spans="2:14">
      <c r="B90" s="122">
        <v>2022</v>
      </c>
      <c r="C90" s="79">
        <v>2498623001.75</v>
      </c>
    </row>
    <row r="91" spans="2:14">
      <c r="B91" s="122">
        <v>2021</v>
      </c>
      <c r="C91" s="79">
        <v>2291806933.02</v>
      </c>
    </row>
    <row r="92" spans="2:14">
      <c r="B92" s="122">
        <v>2020</v>
      </c>
      <c r="C92" s="79">
        <v>2116267496.1099999</v>
      </c>
    </row>
    <row r="93" spans="2:14">
      <c r="B93" s="122">
        <v>2019</v>
      </c>
      <c r="C93" s="79">
        <v>2308468847.46</v>
      </c>
    </row>
    <row r="94" spans="2:14" ht="15" thickBot="1">
      <c r="B94" s="122" t="s">
        <v>209</v>
      </c>
      <c r="C94" s="79">
        <v>2172905353.9400001</v>
      </c>
    </row>
    <row r="95" spans="2:14" ht="15" thickBot="1">
      <c r="B95" s="121" t="s">
        <v>35</v>
      </c>
      <c r="C95" s="120">
        <v>11388071632.280001</v>
      </c>
    </row>
    <row r="96" spans="2:14" ht="15" thickBot="1">
      <c r="B96" s="96" t="s">
        <v>156</v>
      </c>
      <c r="C96" s="73">
        <f>SUM(C90:C94)</f>
        <v>11388071632.280001</v>
      </c>
      <c r="D96" s="73">
        <f>+C95-C96</f>
        <v>0</v>
      </c>
    </row>
    <row r="97" spans="2:4" ht="15" thickBot="1">
      <c r="B97" s="119" t="s">
        <v>208</v>
      </c>
      <c r="C97" s="121" t="s">
        <v>174</v>
      </c>
    </row>
    <row r="98" spans="2:4">
      <c r="B98" s="122">
        <v>2022</v>
      </c>
      <c r="C98" s="79">
        <v>1333893047.02</v>
      </c>
    </row>
    <row r="99" spans="2:4">
      <c r="B99" s="122">
        <v>2021</v>
      </c>
      <c r="C99" s="79">
        <v>1192990968.8599999</v>
      </c>
    </row>
    <row r="100" spans="2:4">
      <c r="B100" s="122">
        <v>2020</v>
      </c>
      <c r="C100" s="79">
        <v>1130470910.8099999</v>
      </c>
    </row>
    <row r="101" spans="2:4">
      <c r="B101" s="122">
        <v>2019</v>
      </c>
      <c r="C101" s="79">
        <v>1205489914.29</v>
      </c>
    </row>
    <row r="102" spans="2:4" ht="15" thickBot="1">
      <c r="B102" s="122" t="s">
        <v>209</v>
      </c>
      <c r="C102" s="79">
        <v>1078056764.46</v>
      </c>
    </row>
    <row r="103" spans="2:4" ht="15" thickBot="1">
      <c r="B103" s="121" t="s">
        <v>35</v>
      </c>
      <c r="C103" s="120">
        <v>5940901605.4399996</v>
      </c>
    </row>
    <row r="104" spans="2:4" ht="15" thickBot="1">
      <c r="B104" s="96" t="s">
        <v>156</v>
      </c>
      <c r="C104" s="73">
        <f>SUM(C98:C102)</f>
        <v>5940901605.4399996</v>
      </c>
      <c r="D104" s="73">
        <f>+C103-C104</f>
        <v>0</v>
      </c>
    </row>
    <row r="105" spans="2:4" ht="15" thickBot="1">
      <c r="B105" s="75" t="s">
        <v>210</v>
      </c>
      <c r="C105" s="75" t="s">
        <v>211</v>
      </c>
    </row>
    <row r="106" spans="2:4" ht="27.6">
      <c r="B106" s="100" t="s">
        <v>212</v>
      </c>
      <c r="C106" s="80">
        <v>19</v>
      </c>
    </row>
    <row r="107" spans="2:4">
      <c r="B107" s="100" t="s">
        <v>213</v>
      </c>
      <c r="C107" s="80">
        <v>34</v>
      </c>
    </row>
    <row r="108" spans="2:4" ht="15" thickBot="1">
      <c r="B108" s="98" t="s">
        <v>214</v>
      </c>
      <c r="C108" s="124">
        <v>350</v>
      </c>
    </row>
    <row r="109" spans="2:4" ht="15" thickBot="1">
      <c r="B109" s="84" t="s">
        <v>35</v>
      </c>
      <c r="C109" s="84">
        <v>403</v>
      </c>
    </row>
    <row r="110" spans="2:4" ht="15" thickBot="1">
      <c r="B110" s="96" t="s">
        <v>156</v>
      </c>
      <c r="C110">
        <f>SUM(C106:C108)</f>
        <v>403</v>
      </c>
      <c r="D110" s="73">
        <f>+C109-C110</f>
        <v>0</v>
      </c>
    </row>
    <row r="111" spans="2:4" ht="15" thickBot="1">
      <c r="B111" s="125" t="s">
        <v>215</v>
      </c>
      <c r="C111" s="125" t="s">
        <v>211</v>
      </c>
    </row>
    <row r="112" spans="2:4">
      <c r="B112" s="110" t="s">
        <v>216</v>
      </c>
      <c r="C112" s="126">
        <v>15</v>
      </c>
    </row>
    <row r="113" spans="2:3" ht="15" thickBot="1">
      <c r="B113" s="111" t="s">
        <v>217</v>
      </c>
      <c r="C113" s="127">
        <v>19</v>
      </c>
    </row>
    <row r="114" spans="2:3" ht="15" thickBot="1">
      <c r="B114" s="84" t="s">
        <v>35</v>
      </c>
      <c r="C114" s="84">
        <f>SUM(C112:C113)</f>
        <v>34</v>
      </c>
    </row>
    <row r="115" spans="2:3" ht="15" thickBot="1">
      <c r="B115" s="96" t="s">
        <v>156</v>
      </c>
      <c r="C115">
        <f>SUM(C112:C113)</f>
        <v>34</v>
      </c>
    </row>
    <row r="116" spans="2:3" ht="15" thickBot="1">
      <c r="B116" s="125" t="s">
        <v>218</v>
      </c>
      <c r="C116" s="125" t="s">
        <v>219</v>
      </c>
    </row>
    <row r="117" spans="2:3">
      <c r="B117" s="100" t="s">
        <v>220</v>
      </c>
      <c r="C117" s="80">
        <v>12</v>
      </c>
    </row>
    <row r="118" spans="2:3">
      <c r="B118" s="100" t="s">
        <v>221</v>
      </c>
      <c r="C118" s="80">
        <v>64</v>
      </c>
    </row>
    <row r="119" spans="2:3">
      <c r="B119" s="100" t="s">
        <v>222</v>
      </c>
      <c r="C119" s="80">
        <v>70</v>
      </c>
    </row>
    <row r="120" spans="2:3">
      <c r="B120" s="100" t="s">
        <v>223</v>
      </c>
      <c r="C120" s="80">
        <v>11</v>
      </c>
    </row>
    <row r="121" spans="2:3">
      <c r="B121" s="100" t="s">
        <v>224</v>
      </c>
      <c r="C121" s="80">
        <v>14</v>
      </c>
    </row>
    <row r="122" spans="2:3">
      <c r="B122" s="100" t="s">
        <v>225</v>
      </c>
      <c r="C122" s="80">
        <v>21</v>
      </c>
    </row>
    <row r="123" spans="2:3">
      <c r="B123" s="100" t="s">
        <v>226</v>
      </c>
      <c r="C123" s="80">
        <v>14</v>
      </c>
    </row>
    <row r="124" spans="2:3">
      <c r="B124" s="100" t="s">
        <v>227</v>
      </c>
      <c r="C124" s="80">
        <v>26</v>
      </c>
    </row>
    <row r="125" spans="2:3">
      <c r="B125" s="100" t="s">
        <v>228</v>
      </c>
      <c r="C125" s="80">
        <v>21</v>
      </c>
    </row>
    <row r="126" spans="2:3">
      <c r="B126" s="100" t="s">
        <v>229</v>
      </c>
      <c r="C126" s="80">
        <v>23</v>
      </c>
    </row>
    <row r="127" spans="2:3">
      <c r="B127" s="100" t="s">
        <v>230</v>
      </c>
      <c r="C127" s="80">
        <v>8</v>
      </c>
    </row>
    <row r="128" spans="2:3">
      <c r="B128" s="100" t="s">
        <v>231</v>
      </c>
      <c r="C128" s="80">
        <v>15</v>
      </c>
    </row>
    <row r="129" spans="1:16">
      <c r="B129" s="100" t="s">
        <v>232</v>
      </c>
      <c r="C129" s="80">
        <v>12</v>
      </c>
    </row>
    <row r="130" spans="1:16">
      <c r="B130" s="100" t="s">
        <v>233</v>
      </c>
      <c r="C130" s="80">
        <v>12</v>
      </c>
    </row>
    <row r="131" spans="1:16">
      <c r="B131" s="100" t="s">
        <v>234</v>
      </c>
      <c r="C131" s="80">
        <v>6</v>
      </c>
    </row>
    <row r="132" spans="1:16">
      <c r="B132" s="100" t="s">
        <v>235</v>
      </c>
      <c r="C132" s="80">
        <v>14</v>
      </c>
    </row>
    <row r="133" spans="1:16" ht="15" thickBot="1">
      <c r="B133" s="98" t="s">
        <v>236</v>
      </c>
      <c r="C133" s="124">
        <v>7</v>
      </c>
    </row>
    <row r="134" spans="1:16" ht="15" thickBot="1">
      <c r="B134" s="112" t="s">
        <v>35</v>
      </c>
      <c r="C134" s="128">
        <f>SUM(C117:C133)</f>
        <v>350</v>
      </c>
    </row>
    <row r="135" spans="1:16">
      <c r="B135" s="96" t="s">
        <v>156</v>
      </c>
      <c r="C135">
        <f>SUM(C117:C133)</f>
        <v>350</v>
      </c>
    </row>
    <row r="137" spans="1:16" ht="15" thickBot="1">
      <c r="A137" s="74" t="s">
        <v>239</v>
      </c>
    </row>
    <row r="138" spans="1:16" ht="15" thickBot="1">
      <c r="B138" s="75" t="s">
        <v>144</v>
      </c>
      <c r="C138" s="75">
        <v>2022</v>
      </c>
      <c r="D138" s="75">
        <v>2021</v>
      </c>
    </row>
    <row r="139" spans="1:16">
      <c r="A139" s="108" t="s">
        <v>168</v>
      </c>
      <c r="B139" s="81" t="s">
        <v>240</v>
      </c>
      <c r="C139" s="79">
        <v>25857318.399999999</v>
      </c>
      <c r="D139" s="79">
        <v>25699950</v>
      </c>
      <c r="F139" s="88">
        <f t="shared" ref="F139:F156" si="17">+C139-D139</f>
        <v>157368.39999999851</v>
      </c>
      <c r="G139" s="92">
        <f t="shared" ref="G139:G156" si="18">+F139/D139</f>
        <v>6.1232959597197082E-3</v>
      </c>
      <c r="J139" s="79">
        <v>25699950</v>
      </c>
      <c r="K139" s="79">
        <f t="shared" ref="K139:K141" si="19">+D139-J139</f>
        <v>0</v>
      </c>
      <c r="M139" s="131">
        <v>25857318.399999999</v>
      </c>
      <c r="N139" s="73">
        <v>25699950</v>
      </c>
      <c r="O139" s="73">
        <f t="shared" ref="O139:O155" si="20">+C139-M139</f>
        <v>0</v>
      </c>
      <c r="P139" s="73">
        <f t="shared" ref="P139:P155" si="21">+D139-N139</f>
        <v>0</v>
      </c>
    </row>
    <row r="140" spans="1:16">
      <c r="A140" s="108" t="s">
        <v>168</v>
      </c>
      <c r="B140" s="81" t="s">
        <v>241</v>
      </c>
      <c r="C140" s="79">
        <v>73820390.659999996</v>
      </c>
      <c r="D140" s="79">
        <v>53159368.600000001</v>
      </c>
      <c r="F140" s="88">
        <f t="shared" si="17"/>
        <v>20661022.059999995</v>
      </c>
      <c r="G140" s="92">
        <f t="shared" si="18"/>
        <v>0.3886619161236613</v>
      </c>
      <c r="H140" s="103" t="s">
        <v>237</v>
      </c>
      <c r="J140" s="79">
        <v>53159368.600000001</v>
      </c>
      <c r="K140" s="79">
        <f t="shared" si="19"/>
        <v>0</v>
      </c>
      <c r="M140" s="131">
        <v>73820390.659999996</v>
      </c>
      <c r="N140" s="73">
        <v>53159368.600000001</v>
      </c>
      <c r="O140" s="73">
        <f t="shared" si="20"/>
        <v>0</v>
      </c>
      <c r="P140" s="73">
        <f t="shared" si="21"/>
        <v>0</v>
      </c>
    </row>
    <row r="141" spans="1:16">
      <c r="A141" s="108" t="s">
        <v>168</v>
      </c>
      <c r="B141" s="100" t="s">
        <v>242</v>
      </c>
      <c r="C141" s="101">
        <v>1530567</v>
      </c>
      <c r="D141" s="79">
        <v>2097324</v>
      </c>
      <c r="F141" s="88">
        <f t="shared" si="17"/>
        <v>-566757</v>
      </c>
      <c r="G141" s="92">
        <f t="shared" si="18"/>
        <v>-0.27022863420244081</v>
      </c>
      <c r="J141" s="79">
        <v>2097324</v>
      </c>
      <c r="K141" s="79">
        <f t="shared" si="19"/>
        <v>0</v>
      </c>
      <c r="M141" s="131">
        <v>1530567</v>
      </c>
      <c r="N141" s="73">
        <v>2097324</v>
      </c>
      <c r="O141" s="73">
        <f t="shared" si="20"/>
        <v>0</v>
      </c>
      <c r="P141" s="73">
        <f t="shared" si="21"/>
        <v>0</v>
      </c>
    </row>
    <row r="142" spans="1:16">
      <c r="B142" s="81" t="s">
        <v>243</v>
      </c>
      <c r="C142" s="101"/>
      <c r="F142" s="88"/>
      <c r="G142" s="92"/>
      <c r="O142" s="73">
        <f t="shared" si="20"/>
        <v>0</v>
      </c>
      <c r="P142" s="73">
        <f t="shared" si="21"/>
        <v>0</v>
      </c>
    </row>
    <row r="143" spans="1:16">
      <c r="A143" s="108" t="s">
        <v>168</v>
      </c>
      <c r="B143" s="100" t="s">
        <v>244</v>
      </c>
      <c r="C143" s="101">
        <v>1406700</v>
      </c>
      <c r="D143" s="79">
        <v>638200</v>
      </c>
      <c r="F143" s="88">
        <f t="shared" si="17"/>
        <v>768500</v>
      </c>
      <c r="G143" s="92">
        <f t="shared" si="18"/>
        <v>1.2041679724224381</v>
      </c>
      <c r="H143" s="103" t="s">
        <v>237</v>
      </c>
      <c r="J143" s="79">
        <v>638200</v>
      </c>
      <c r="K143" s="79">
        <f t="shared" ref="K143" si="22">+D143-J143</f>
        <v>0</v>
      </c>
      <c r="M143" s="131">
        <v>1406700</v>
      </c>
      <c r="N143" s="73">
        <v>638200</v>
      </c>
      <c r="O143" s="73">
        <f t="shared" si="20"/>
        <v>0</v>
      </c>
      <c r="P143" s="73">
        <f t="shared" si="21"/>
        <v>0</v>
      </c>
    </row>
    <row r="144" spans="1:16">
      <c r="B144" s="81" t="s">
        <v>245</v>
      </c>
      <c r="C144" s="101"/>
      <c r="F144" s="88"/>
      <c r="G144" s="92"/>
      <c r="O144" s="73">
        <f t="shared" si="20"/>
        <v>0</v>
      </c>
      <c r="P144" s="73">
        <f t="shared" si="21"/>
        <v>0</v>
      </c>
    </row>
    <row r="145" spans="1:16">
      <c r="A145" s="108" t="s">
        <v>168</v>
      </c>
      <c r="B145" s="100" t="s">
        <v>246</v>
      </c>
      <c r="C145" s="101">
        <v>5074926.4000000004</v>
      </c>
      <c r="D145" s="123">
        <v>0</v>
      </c>
      <c r="F145" s="88">
        <f t="shared" si="17"/>
        <v>5074926.4000000004</v>
      </c>
      <c r="G145" s="92" t="e">
        <f t="shared" si="18"/>
        <v>#DIV/0!</v>
      </c>
      <c r="H145" s="103" t="s">
        <v>237</v>
      </c>
      <c r="J145" s="123">
        <v>0</v>
      </c>
      <c r="K145" s="123">
        <f t="shared" ref="K145" si="23">+D145-J145</f>
        <v>0</v>
      </c>
      <c r="M145" s="131">
        <v>5074926.4000000004</v>
      </c>
      <c r="N145">
        <v>0</v>
      </c>
      <c r="O145" s="73">
        <f t="shared" si="20"/>
        <v>0</v>
      </c>
      <c r="P145" s="73">
        <f t="shared" si="21"/>
        <v>0</v>
      </c>
    </row>
    <row r="146" spans="1:16">
      <c r="B146" s="81" t="s">
        <v>245</v>
      </c>
      <c r="C146" s="101"/>
      <c r="D146" s="77"/>
      <c r="F146" s="88"/>
      <c r="G146" s="92"/>
      <c r="J146" s="77"/>
      <c r="K146" s="77"/>
      <c r="O146" s="73">
        <f t="shared" si="20"/>
        <v>0</v>
      </c>
      <c r="P146" s="73">
        <f t="shared" si="21"/>
        <v>0</v>
      </c>
    </row>
    <row r="147" spans="1:16">
      <c r="A147" s="108" t="s">
        <v>168</v>
      </c>
      <c r="B147" s="81" t="s">
        <v>247</v>
      </c>
      <c r="C147" s="79">
        <v>20549093.34</v>
      </c>
      <c r="D147" s="79">
        <v>16232842.41</v>
      </c>
      <c r="F147" s="88">
        <f t="shared" si="17"/>
        <v>4316250.93</v>
      </c>
      <c r="G147" s="92">
        <f t="shared" si="18"/>
        <v>0.26589618878706284</v>
      </c>
      <c r="H147" s="140"/>
      <c r="J147" s="79">
        <v>16232842.41</v>
      </c>
      <c r="K147" s="79">
        <f t="shared" ref="K147:K149" si="24">+D147-J147</f>
        <v>0</v>
      </c>
      <c r="M147" s="131">
        <v>20549093.34</v>
      </c>
      <c r="N147" s="73">
        <v>16232842.41</v>
      </c>
      <c r="O147" s="73">
        <f t="shared" si="20"/>
        <v>0</v>
      </c>
      <c r="P147" s="73">
        <f t="shared" si="21"/>
        <v>0</v>
      </c>
    </row>
    <row r="148" spans="1:16">
      <c r="A148" s="108" t="s">
        <v>168</v>
      </c>
      <c r="B148" s="81" t="s">
        <v>248</v>
      </c>
      <c r="C148" s="79">
        <v>249623451.59</v>
      </c>
      <c r="D148" s="79">
        <v>122892035.88</v>
      </c>
      <c r="F148" s="88">
        <f t="shared" si="17"/>
        <v>126731415.71000001</v>
      </c>
      <c r="G148" s="92">
        <f t="shared" si="18"/>
        <v>1.0312418929551224</v>
      </c>
      <c r="H148" s="140" t="s">
        <v>237</v>
      </c>
      <c r="J148" s="79">
        <v>122892035.88</v>
      </c>
      <c r="K148" s="79">
        <f t="shared" si="24"/>
        <v>0</v>
      </c>
      <c r="M148" s="131">
        <v>249623451.59</v>
      </c>
      <c r="N148" s="73">
        <v>122892035.88</v>
      </c>
      <c r="O148" s="73">
        <f t="shared" si="20"/>
        <v>0</v>
      </c>
      <c r="P148" s="73">
        <f t="shared" si="21"/>
        <v>0</v>
      </c>
    </row>
    <row r="149" spans="1:16">
      <c r="A149" s="108" t="s">
        <v>168</v>
      </c>
      <c r="B149" s="100" t="s">
        <v>249</v>
      </c>
      <c r="C149" s="101">
        <v>347457915.43000001</v>
      </c>
      <c r="D149" s="101">
        <v>218473029.19999999</v>
      </c>
      <c r="F149" s="88">
        <f t="shared" si="17"/>
        <v>128984886.23000002</v>
      </c>
      <c r="G149" s="92">
        <f t="shared" si="18"/>
        <v>0.59039272125403397</v>
      </c>
      <c r="H149" s="140" t="s">
        <v>237</v>
      </c>
      <c r="J149" s="101">
        <v>218473029.19999999</v>
      </c>
      <c r="K149" s="101">
        <f t="shared" si="24"/>
        <v>0</v>
      </c>
      <c r="M149" s="131">
        <v>347457915.43000001</v>
      </c>
      <c r="N149" s="73">
        <v>218473029.19999999</v>
      </c>
      <c r="O149" s="73">
        <f t="shared" si="20"/>
        <v>0</v>
      </c>
      <c r="P149" s="73">
        <f t="shared" si="21"/>
        <v>0</v>
      </c>
    </row>
    <row r="150" spans="1:16">
      <c r="B150" s="81" t="s">
        <v>250</v>
      </c>
      <c r="C150" s="101"/>
      <c r="D150" s="101"/>
      <c r="F150" s="88"/>
      <c r="G150" s="92"/>
      <c r="J150" s="101"/>
      <c r="K150" s="101"/>
      <c r="O150" s="73">
        <f t="shared" si="20"/>
        <v>0</v>
      </c>
      <c r="P150" s="73">
        <f t="shared" si="21"/>
        <v>0</v>
      </c>
    </row>
    <row r="151" spans="1:16">
      <c r="A151" s="108" t="s">
        <v>168</v>
      </c>
      <c r="B151" s="100" t="s">
        <v>251</v>
      </c>
      <c r="C151" s="101">
        <v>41029728.530000001</v>
      </c>
      <c r="D151" s="79">
        <v>7604051.5899999999</v>
      </c>
      <c r="F151" s="88">
        <f t="shared" si="17"/>
        <v>33425676.940000001</v>
      </c>
      <c r="G151" s="92">
        <f t="shared" si="18"/>
        <v>4.3957719834459992</v>
      </c>
      <c r="H151" s="140" t="s">
        <v>237</v>
      </c>
      <c r="J151" s="79">
        <v>7604051.5899999999</v>
      </c>
      <c r="K151" s="79">
        <f t="shared" ref="K151" si="25">+D151-J151</f>
        <v>0</v>
      </c>
      <c r="M151" s="131">
        <v>41029728.530000001</v>
      </c>
      <c r="N151" s="73">
        <v>7604051.5899999999</v>
      </c>
      <c r="O151" s="73">
        <f t="shared" si="20"/>
        <v>0</v>
      </c>
      <c r="P151" s="73">
        <f t="shared" si="21"/>
        <v>0</v>
      </c>
    </row>
    <row r="152" spans="1:16">
      <c r="B152" s="81" t="s">
        <v>245</v>
      </c>
      <c r="C152" s="101"/>
      <c r="F152" s="88"/>
      <c r="G152" s="92"/>
      <c r="M152" s="131"/>
      <c r="N152" s="73"/>
      <c r="O152" s="73">
        <f t="shared" ref="O152:P154" si="26">+C152-M152</f>
        <v>0</v>
      </c>
      <c r="P152" s="73">
        <f t="shared" si="26"/>
        <v>0</v>
      </c>
    </row>
    <row r="153" spans="1:16">
      <c r="A153" s="108" t="s">
        <v>168</v>
      </c>
      <c r="B153" s="81" t="s">
        <v>252</v>
      </c>
      <c r="C153" s="79">
        <v>17552498.670000002</v>
      </c>
      <c r="D153" s="77">
        <v>0</v>
      </c>
      <c r="F153" s="88">
        <f t="shared" si="17"/>
        <v>17552498.670000002</v>
      </c>
      <c r="G153" s="92" t="e">
        <f t="shared" si="18"/>
        <v>#DIV/0!</v>
      </c>
      <c r="H153" s="103" t="s">
        <v>237</v>
      </c>
      <c r="J153" s="77">
        <v>0</v>
      </c>
      <c r="K153" s="77">
        <f t="shared" ref="K153:K154" si="27">+D153-J153</f>
        <v>0</v>
      </c>
      <c r="M153" s="131">
        <v>17552498.670000002</v>
      </c>
      <c r="N153">
        <v>0</v>
      </c>
      <c r="O153" s="73">
        <f t="shared" si="26"/>
        <v>0</v>
      </c>
      <c r="P153" s="73">
        <f t="shared" si="26"/>
        <v>0</v>
      </c>
    </row>
    <row r="154" spans="1:16">
      <c r="A154" s="108" t="s">
        <v>168</v>
      </c>
      <c r="B154" s="100" t="s">
        <v>253</v>
      </c>
      <c r="C154" s="101">
        <v>382581062.10000002</v>
      </c>
      <c r="D154" s="79">
        <v>156463043.91</v>
      </c>
      <c r="F154" s="88">
        <f t="shared" si="17"/>
        <v>226118018.19000003</v>
      </c>
      <c r="G154" s="92">
        <f t="shared" si="18"/>
        <v>1.4451848343182347</v>
      </c>
      <c r="H154" s="103" t="s">
        <v>237</v>
      </c>
      <c r="J154" s="79">
        <v>156463043.91</v>
      </c>
      <c r="K154" s="79">
        <f t="shared" si="27"/>
        <v>0</v>
      </c>
      <c r="M154" s="131">
        <v>382581062.10000002</v>
      </c>
      <c r="N154" s="73">
        <v>156463043.91</v>
      </c>
      <c r="O154" s="73">
        <f t="shared" si="26"/>
        <v>0</v>
      </c>
      <c r="P154" s="73">
        <f t="shared" si="26"/>
        <v>0</v>
      </c>
    </row>
    <row r="155" spans="1:16">
      <c r="B155" s="81" t="s">
        <v>245</v>
      </c>
      <c r="C155" s="101"/>
      <c r="F155" s="88"/>
      <c r="G155" s="92"/>
      <c r="O155" s="73">
        <f t="shared" si="20"/>
        <v>0</v>
      </c>
      <c r="P155" s="73">
        <f t="shared" si="21"/>
        <v>0</v>
      </c>
    </row>
    <row r="156" spans="1:16">
      <c r="A156" s="108" t="s">
        <v>168</v>
      </c>
      <c r="B156" s="100" t="s">
        <v>254</v>
      </c>
      <c r="C156" s="101">
        <v>160992664.16</v>
      </c>
      <c r="D156" s="79">
        <v>99581267.310000002</v>
      </c>
      <c r="F156" s="88">
        <f t="shared" si="17"/>
        <v>61411396.849999994</v>
      </c>
      <c r="G156" s="92">
        <f t="shared" si="18"/>
        <v>0.6166962774115351</v>
      </c>
      <c r="H156" s="103" t="s">
        <v>237</v>
      </c>
      <c r="J156" s="79">
        <v>99581267.310000002</v>
      </c>
      <c r="K156" s="79">
        <f t="shared" ref="K156" si="28">+D156-J156</f>
        <v>0</v>
      </c>
      <c r="M156" s="131">
        <v>160992664.16</v>
      </c>
      <c r="N156" s="73">
        <v>99581267.310000002</v>
      </c>
      <c r="O156" s="73">
        <f t="shared" ref="O156:P158" si="29">+C156-M156</f>
        <v>0</v>
      </c>
      <c r="P156" s="73">
        <f t="shared" si="29"/>
        <v>0</v>
      </c>
    </row>
    <row r="157" spans="1:16" ht="15" thickBot="1">
      <c r="B157" s="82" t="s">
        <v>255</v>
      </c>
      <c r="C157" s="102"/>
      <c r="D157" s="83"/>
      <c r="J157" s="83"/>
      <c r="K157" s="83"/>
      <c r="O157" s="73">
        <f t="shared" si="29"/>
        <v>0</v>
      </c>
      <c r="P157" s="73">
        <f t="shared" si="29"/>
        <v>0</v>
      </c>
    </row>
    <row r="158" spans="1:16" ht="15" thickBot="1">
      <c r="B158" s="84" t="s">
        <v>35</v>
      </c>
      <c r="C158" s="85">
        <v>1327476316.28</v>
      </c>
      <c r="D158" s="85">
        <v>702841112.89999998</v>
      </c>
      <c r="J158" s="85">
        <f>SUM(J139:J157)</f>
        <v>702841112.89999986</v>
      </c>
      <c r="K158" s="85">
        <f>+D158-J158</f>
        <v>0</v>
      </c>
      <c r="M158" s="131">
        <f>SUM(M139:M157)</f>
        <v>1327476316.28</v>
      </c>
      <c r="N158" s="73">
        <f>SUM(N139:N157)</f>
        <v>702841112.89999986</v>
      </c>
      <c r="O158" s="73">
        <f t="shared" si="29"/>
        <v>0</v>
      </c>
      <c r="P158" s="73">
        <f t="shared" si="29"/>
        <v>0</v>
      </c>
    </row>
    <row r="159" spans="1:16">
      <c r="B159" s="96" t="s">
        <v>156</v>
      </c>
      <c r="C159" s="73">
        <f>SUM(C139:C157)</f>
        <v>1327476316.28</v>
      </c>
      <c r="D159" s="73">
        <f>SUM(D139:D157)</f>
        <v>702841112.89999986</v>
      </c>
    </row>
    <row r="160" spans="1:16">
      <c r="B160" s="96" t="s">
        <v>156</v>
      </c>
      <c r="C160" s="73">
        <f>+C158-C159</f>
        <v>0</v>
      </c>
      <c r="D160" s="73">
        <f>+D158-D159</f>
        <v>0</v>
      </c>
    </row>
    <row r="161" spans="1:15">
      <c r="B161" s="108" t="s">
        <v>168</v>
      </c>
      <c r="C161" s="73">
        <v>1327476316.28</v>
      </c>
      <c r="D161" s="73">
        <v>702841112.89999998</v>
      </c>
    </row>
    <row r="162" spans="1:15" ht="15" thickBot="1">
      <c r="B162" s="108" t="s">
        <v>168</v>
      </c>
      <c r="C162" s="73">
        <f>+C158-C161</f>
        <v>0</v>
      </c>
      <c r="D162" s="73">
        <f>+D158-D161</f>
        <v>0</v>
      </c>
    </row>
    <row r="163" spans="1:15" ht="15" thickBot="1">
      <c r="B163" s="75" t="s">
        <v>144</v>
      </c>
      <c r="C163" s="75" t="s">
        <v>174</v>
      </c>
    </row>
    <row r="164" spans="1:15">
      <c r="A164" s="108" t="s">
        <v>168</v>
      </c>
      <c r="B164" s="100" t="s">
        <v>256</v>
      </c>
      <c r="C164" s="79">
        <v>64314038.210000001</v>
      </c>
      <c r="M164" s="131">
        <v>64314038.210000001</v>
      </c>
      <c r="O164" s="73">
        <f t="shared" ref="O164:O172" si="30">+C164-M164</f>
        <v>0</v>
      </c>
    </row>
    <row r="165" spans="1:15">
      <c r="A165" s="108" t="s">
        <v>168</v>
      </c>
      <c r="B165" s="100" t="s">
        <v>257</v>
      </c>
      <c r="C165" s="79">
        <v>1986565.68</v>
      </c>
      <c r="M165" s="131">
        <v>1986565.68</v>
      </c>
      <c r="O165" s="73">
        <f t="shared" si="30"/>
        <v>0</v>
      </c>
    </row>
    <row r="166" spans="1:15">
      <c r="A166" s="108" t="s">
        <v>168</v>
      </c>
      <c r="B166" s="100" t="s">
        <v>258</v>
      </c>
      <c r="C166" s="79">
        <v>48108</v>
      </c>
      <c r="M166" s="131">
        <v>48108</v>
      </c>
      <c r="O166" s="73">
        <f t="shared" si="30"/>
        <v>0</v>
      </c>
    </row>
    <row r="167" spans="1:15" ht="27.6">
      <c r="A167" s="108" t="s">
        <v>168</v>
      </c>
      <c r="B167" s="100" t="s">
        <v>259</v>
      </c>
      <c r="C167" s="79">
        <v>13119328.9</v>
      </c>
      <c r="M167" s="131">
        <v>13119328.9</v>
      </c>
      <c r="O167" s="73">
        <f t="shared" si="30"/>
        <v>0</v>
      </c>
    </row>
    <row r="168" spans="1:15">
      <c r="A168" s="108" t="s">
        <v>168</v>
      </c>
      <c r="B168" s="100" t="s">
        <v>260</v>
      </c>
      <c r="C168" s="79">
        <v>58156549.609999999</v>
      </c>
      <c r="M168" s="131">
        <v>58156549.609999999</v>
      </c>
      <c r="O168" s="73">
        <f t="shared" si="30"/>
        <v>0</v>
      </c>
    </row>
    <row r="169" spans="1:15">
      <c r="A169" s="108" t="s">
        <v>168</v>
      </c>
      <c r="B169" s="100" t="s">
        <v>261</v>
      </c>
      <c r="C169" s="79">
        <v>1334497000</v>
      </c>
      <c r="M169" s="131">
        <v>1334497000</v>
      </c>
      <c r="O169" s="73">
        <f t="shared" si="30"/>
        <v>0</v>
      </c>
    </row>
    <row r="170" spans="1:15">
      <c r="A170" s="108" t="s">
        <v>168</v>
      </c>
      <c r="B170" s="100" t="s">
        <v>262</v>
      </c>
      <c r="C170" s="79">
        <v>516522268.93000001</v>
      </c>
      <c r="M170" s="131">
        <v>516522268.93000001</v>
      </c>
      <c r="O170" s="73">
        <f t="shared" si="30"/>
        <v>0</v>
      </c>
    </row>
    <row r="171" spans="1:15" ht="27.6">
      <c r="A171" s="115"/>
      <c r="B171" s="100" t="s">
        <v>263</v>
      </c>
      <c r="C171" s="79">
        <v>562613648.89999998</v>
      </c>
      <c r="M171" s="129">
        <v>479749776</v>
      </c>
      <c r="O171" s="73">
        <f t="shared" si="30"/>
        <v>82863872.899999976</v>
      </c>
    </row>
    <row r="172" spans="1:15">
      <c r="A172" s="108" t="s">
        <v>168</v>
      </c>
      <c r="B172" s="100" t="s">
        <v>264</v>
      </c>
      <c r="C172" s="79">
        <v>23741904.09</v>
      </c>
      <c r="M172" s="131">
        <v>23741904.09</v>
      </c>
      <c r="O172" s="73">
        <f t="shared" si="30"/>
        <v>0</v>
      </c>
    </row>
    <row r="173" spans="1:15" ht="27.6">
      <c r="A173" s="108" t="s">
        <v>168</v>
      </c>
      <c r="B173" s="100" t="s">
        <v>265</v>
      </c>
      <c r="C173" s="79">
        <v>61783489.149999999</v>
      </c>
      <c r="M173" s="131">
        <v>61783489.149999999</v>
      </c>
      <c r="O173" s="73">
        <f>+C173-M173</f>
        <v>0</v>
      </c>
    </row>
    <row r="174" spans="1:15" ht="28.2" thickBot="1">
      <c r="A174" s="108" t="s">
        <v>168</v>
      </c>
      <c r="B174" s="98" t="s">
        <v>266</v>
      </c>
      <c r="C174" s="83">
        <v>859561728.90999997</v>
      </c>
      <c r="M174" s="131">
        <v>859561728.90999997</v>
      </c>
      <c r="O174" s="73">
        <f>+C174-M174</f>
        <v>0</v>
      </c>
    </row>
    <row r="175" spans="1:15" ht="15" thickBot="1">
      <c r="B175" s="84" t="s">
        <v>35</v>
      </c>
      <c r="C175" s="85">
        <v>3496344630.3800001</v>
      </c>
      <c r="O175" s="73"/>
    </row>
    <row r="176" spans="1:15" ht="15" thickBot="1">
      <c r="B176" s="96" t="s">
        <v>156</v>
      </c>
      <c r="C176" s="73">
        <f>SUM(C164:C174)</f>
        <v>3496344630.3800001</v>
      </c>
      <c r="D176" s="73">
        <f>+C175-C176</f>
        <v>0</v>
      </c>
      <c r="O176" s="73"/>
    </row>
    <row r="177" spans="1:16" ht="15" thickBot="1">
      <c r="B177" s="75" t="s">
        <v>267</v>
      </c>
      <c r="C177" s="75" t="s">
        <v>174</v>
      </c>
      <c r="M177" s="131"/>
      <c r="O177" s="73"/>
    </row>
    <row r="178" spans="1:16">
      <c r="B178" s="81" t="s">
        <v>248</v>
      </c>
      <c r="C178" s="79">
        <v>127800616.45999999</v>
      </c>
    </row>
    <row r="179" spans="1:16">
      <c r="B179" s="81" t="s">
        <v>247</v>
      </c>
      <c r="C179" s="79">
        <v>26072062.75</v>
      </c>
    </row>
    <row r="180" spans="1:16">
      <c r="B180" s="81" t="s">
        <v>249</v>
      </c>
      <c r="C180" s="79">
        <v>399590343.81999999</v>
      </c>
    </row>
    <row r="181" spans="1:16">
      <c r="B181" s="81" t="s">
        <v>241</v>
      </c>
      <c r="C181" s="79">
        <v>31179606.539999999</v>
      </c>
    </row>
    <row r="182" spans="1:16">
      <c r="B182" s="81" t="s">
        <v>253</v>
      </c>
      <c r="C182" s="435">
        <v>101661701.41</v>
      </c>
    </row>
    <row r="183" spans="1:16">
      <c r="B183" s="81" t="s">
        <v>245</v>
      </c>
      <c r="C183" s="435"/>
    </row>
    <row r="184" spans="1:16" ht="15" thickBot="1">
      <c r="B184" s="82" t="s">
        <v>268</v>
      </c>
      <c r="C184" s="83">
        <v>98423150</v>
      </c>
    </row>
    <row r="185" spans="1:16" ht="15" thickBot="1">
      <c r="B185" s="84" t="s">
        <v>35</v>
      </c>
      <c r="C185" s="85">
        <v>784727480.98000002</v>
      </c>
    </row>
    <row r="186" spans="1:16">
      <c r="B186" s="96" t="s">
        <v>156</v>
      </c>
      <c r="C186" s="73">
        <f>SUM(C178:C184)</f>
        <v>784727480.9799999</v>
      </c>
      <c r="D186" s="73">
        <f>+C185-C186</f>
        <v>0</v>
      </c>
    </row>
    <row r="188" spans="1:16" ht="15" thickBot="1">
      <c r="A188" s="74" t="s">
        <v>269</v>
      </c>
    </row>
    <row r="189" spans="1:16" ht="15" thickBot="1">
      <c r="B189" s="75" t="s">
        <v>144</v>
      </c>
      <c r="C189" s="75">
        <v>2022</v>
      </c>
      <c r="D189" s="75">
        <v>2021</v>
      </c>
    </row>
    <row r="190" spans="1:16">
      <c r="B190" s="76" t="s">
        <v>270</v>
      </c>
      <c r="C190" s="130"/>
      <c r="D190" s="130"/>
    </row>
    <row r="191" spans="1:16">
      <c r="A191" s="108" t="s">
        <v>168</v>
      </c>
      <c r="B191" s="81" t="s">
        <v>271</v>
      </c>
      <c r="C191" s="79">
        <v>1962102224.1800001</v>
      </c>
      <c r="D191" s="79">
        <v>1212696619.1500001</v>
      </c>
      <c r="F191" s="88">
        <f t="shared" ref="F191:F194" si="31">+C191-D191</f>
        <v>749405605.02999997</v>
      </c>
      <c r="G191" s="92">
        <f t="shared" ref="G191:G194" si="32">+F191/D191</f>
        <v>0.61796626888864525</v>
      </c>
      <c r="H191" s="103" t="s">
        <v>237</v>
      </c>
      <c r="J191" s="73">
        <v>1212696618.6700001</v>
      </c>
      <c r="K191" s="169">
        <f t="shared" ref="K191:K195" si="33">+D191-J191</f>
        <v>0.48000001907348633</v>
      </c>
      <c r="M191" s="131">
        <v>1962102224.1800001</v>
      </c>
      <c r="N191" s="73">
        <v>1212696619.1500001</v>
      </c>
      <c r="O191" s="73">
        <f>+C191-M191</f>
        <v>0</v>
      </c>
      <c r="P191" s="73">
        <f>+D191-N191</f>
        <v>0</v>
      </c>
    </row>
    <row r="192" spans="1:16">
      <c r="A192" s="108" t="s">
        <v>168</v>
      </c>
      <c r="B192" s="81" t="s">
        <v>272</v>
      </c>
      <c r="C192" s="79">
        <v>86747649.200000003</v>
      </c>
      <c r="D192" s="79">
        <v>69515741.75</v>
      </c>
      <c r="F192" s="88">
        <f t="shared" si="31"/>
        <v>17231907.450000003</v>
      </c>
      <c r="G192" s="92">
        <f t="shared" si="32"/>
        <v>0.24788496844313687</v>
      </c>
      <c r="J192" s="73">
        <v>69515741.75</v>
      </c>
      <c r="K192" s="79">
        <f t="shared" si="33"/>
        <v>0</v>
      </c>
      <c r="M192" s="131">
        <v>86747649.200000003</v>
      </c>
      <c r="N192" s="73">
        <v>69515741.75</v>
      </c>
      <c r="O192" s="73">
        <f t="shared" ref="O192:O193" si="34">+C192-M192</f>
        <v>0</v>
      </c>
      <c r="P192" s="73">
        <f t="shared" ref="P192:P193" si="35">+D192-N192</f>
        <v>0</v>
      </c>
    </row>
    <row r="193" spans="1:16">
      <c r="A193" s="108" t="s">
        <v>168</v>
      </c>
      <c r="B193" s="81" t="s">
        <v>273</v>
      </c>
      <c r="C193" s="77">
        <v>0</v>
      </c>
      <c r="D193" s="79">
        <v>8732106.5</v>
      </c>
      <c r="F193" s="88">
        <f t="shared" si="31"/>
        <v>-8732106.5</v>
      </c>
      <c r="G193" s="92">
        <f t="shared" si="32"/>
        <v>-1</v>
      </c>
      <c r="H193" s="103" t="s">
        <v>237</v>
      </c>
      <c r="J193" s="73">
        <v>8732106.5</v>
      </c>
      <c r="K193" s="79">
        <f t="shared" si="33"/>
        <v>0</v>
      </c>
      <c r="M193" s="133">
        <v>0</v>
      </c>
      <c r="N193" s="73">
        <v>8732106.5</v>
      </c>
      <c r="O193" s="73">
        <f t="shared" si="34"/>
        <v>0</v>
      </c>
      <c r="P193" s="73">
        <f t="shared" si="35"/>
        <v>0</v>
      </c>
    </row>
    <row r="194" spans="1:16" ht="15" thickBot="1">
      <c r="A194" s="108" t="s">
        <v>168</v>
      </c>
      <c r="B194" s="82" t="s">
        <v>274</v>
      </c>
      <c r="C194" s="83">
        <v>60273536.539999999</v>
      </c>
      <c r="D194" s="83">
        <v>85031797.239999995</v>
      </c>
      <c r="F194" s="88">
        <f t="shared" si="31"/>
        <v>-24758260.699999996</v>
      </c>
      <c r="G194" s="92">
        <f t="shared" si="32"/>
        <v>-0.29116473488288691</v>
      </c>
      <c r="J194" s="73">
        <v>85031797.239999995</v>
      </c>
      <c r="K194" s="79">
        <f t="shared" si="33"/>
        <v>0</v>
      </c>
      <c r="M194" s="131">
        <v>58913320.439999998</v>
      </c>
      <c r="N194" s="73">
        <v>83671581.140000001</v>
      </c>
    </row>
    <row r="195" spans="1:16" ht="15" thickBot="1">
      <c r="B195" s="84" t="s">
        <v>35</v>
      </c>
      <c r="C195" s="85">
        <v>2109123409.9200001</v>
      </c>
      <c r="D195" s="85">
        <v>1375976264.6400001</v>
      </c>
      <c r="J195" s="73">
        <f>SUM(J191:J194)</f>
        <v>1375976264.1600001</v>
      </c>
      <c r="K195" s="79">
        <f t="shared" si="33"/>
        <v>0.48000001907348633</v>
      </c>
      <c r="M195" s="131">
        <v>1360216.1</v>
      </c>
      <c r="N195" s="73">
        <v>1360216.1</v>
      </c>
    </row>
    <row r="196" spans="1:16">
      <c r="B196" s="96" t="s">
        <v>156</v>
      </c>
      <c r="C196" s="73">
        <f>SUM(C191:C194)</f>
        <v>2109123409.9200001</v>
      </c>
      <c r="D196" s="73">
        <f>SUM(D191:D194)</f>
        <v>1375976264.6400001</v>
      </c>
      <c r="M196" s="131">
        <f>SUM(M194:M195)</f>
        <v>60273536.539999999</v>
      </c>
      <c r="N196" s="131">
        <f>SUM(N194:N195)</f>
        <v>85031797.239999995</v>
      </c>
      <c r="O196" s="73">
        <f>+C194-M196</f>
        <v>0</v>
      </c>
      <c r="P196" s="73">
        <f>+D194-N196</f>
        <v>0</v>
      </c>
    </row>
    <row r="197" spans="1:16">
      <c r="B197" s="96" t="s">
        <v>156</v>
      </c>
      <c r="C197" s="73">
        <f>+C195-C196</f>
        <v>0</v>
      </c>
      <c r="D197" s="73">
        <f>+D195-D196</f>
        <v>0</v>
      </c>
    </row>
    <row r="198" spans="1:16">
      <c r="B198" s="108" t="s">
        <v>168</v>
      </c>
      <c r="C198" s="73">
        <v>2109123409.9200001</v>
      </c>
      <c r="D198" s="73">
        <v>1375976264.6400001</v>
      </c>
    </row>
    <row r="199" spans="1:16">
      <c r="B199" s="108" t="s">
        <v>168</v>
      </c>
      <c r="C199" s="73">
        <f>+C195-C198</f>
        <v>0</v>
      </c>
      <c r="D199" s="73">
        <f>+D195-D198</f>
        <v>0</v>
      </c>
    </row>
    <row r="201" spans="1:16" ht="15" thickBot="1">
      <c r="A201" s="74" t="s">
        <v>275</v>
      </c>
    </row>
    <row r="202" spans="1:16" ht="15" thickBot="1">
      <c r="A202" s="74"/>
      <c r="B202" s="75" t="s">
        <v>276</v>
      </c>
      <c r="C202" s="75">
        <v>2022</v>
      </c>
      <c r="D202" s="75">
        <v>2021</v>
      </c>
    </row>
    <row r="203" spans="1:16" ht="15" thickBot="1">
      <c r="A203" s="108" t="s">
        <v>168</v>
      </c>
      <c r="B203" s="98" t="s">
        <v>277</v>
      </c>
      <c r="C203" s="83">
        <v>248912041.84999999</v>
      </c>
      <c r="D203" s="83">
        <v>248912041.84999999</v>
      </c>
      <c r="F203" s="88">
        <f t="shared" ref="F203" si="36">+C203-D203</f>
        <v>0</v>
      </c>
      <c r="G203" s="92">
        <f t="shared" ref="G203" si="37">+F203/D203</f>
        <v>0</v>
      </c>
      <c r="H203" s="103" t="s">
        <v>237</v>
      </c>
      <c r="J203" s="73">
        <v>248912041.84999999</v>
      </c>
      <c r="K203" s="79">
        <f t="shared" ref="K203" si="38">+D203-J203</f>
        <v>0</v>
      </c>
      <c r="M203" s="131">
        <v>248912041.84999999</v>
      </c>
      <c r="N203" s="73">
        <v>248912041.84999999</v>
      </c>
      <c r="O203" s="73">
        <f t="shared" ref="O203" si="39">+C203-M203</f>
        <v>0</v>
      </c>
      <c r="P203" s="73">
        <f t="shared" ref="P203" si="40">+D203-N203</f>
        <v>0</v>
      </c>
    </row>
    <row r="204" spans="1:16" ht="15" thickBot="1">
      <c r="B204" s="84" t="s">
        <v>35</v>
      </c>
      <c r="C204" s="85">
        <v>248912041.84999999</v>
      </c>
      <c r="D204" s="85">
        <v>248912041.84999999</v>
      </c>
    </row>
    <row r="206" spans="1:16" ht="15" thickBot="1">
      <c r="A206" s="74" t="s">
        <v>278</v>
      </c>
    </row>
    <row r="207" spans="1:16" ht="15" thickBot="1">
      <c r="B207" s="75" t="s">
        <v>144</v>
      </c>
      <c r="C207" s="75">
        <v>2022</v>
      </c>
      <c r="D207" s="75">
        <v>2021</v>
      </c>
    </row>
    <row r="208" spans="1:16">
      <c r="B208" s="76" t="s">
        <v>279</v>
      </c>
      <c r="C208" s="79">
        <v>3611225584.1599998</v>
      </c>
      <c r="D208" s="79">
        <v>3578193399.3200002</v>
      </c>
      <c r="F208" s="88">
        <f t="shared" ref="F208:F250" si="41">+C208-D208</f>
        <v>33032184.839999676</v>
      </c>
      <c r="G208" s="92">
        <f t="shared" ref="G208:G250" si="42">+F208/D208</f>
        <v>9.2315258438174733E-3</v>
      </c>
      <c r="J208" s="73">
        <v>3578193399.3200002</v>
      </c>
      <c r="K208" s="79">
        <f t="shared" ref="K208:K251" si="43">+D208-J208</f>
        <v>0</v>
      </c>
      <c r="M208" s="131">
        <v>3611225584.1599998</v>
      </c>
      <c r="N208" s="73">
        <v>3578193399.3200002</v>
      </c>
      <c r="O208" s="73">
        <f t="shared" ref="O208" si="44">+C208-M208</f>
        <v>0</v>
      </c>
      <c r="P208" s="73">
        <f t="shared" ref="P208" si="45">+D208-N208</f>
        <v>0</v>
      </c>
    </row>
    <row r="209" spans="2:16">
      <c r="B209" s="76" t="s">
        <v>280</v>
      </c>
      <c r="C209" s="134"/>
      <c r="D209" s="134"/>
      <c r="F209" s="88"/>
      <c r="G209" s="92"/>
      <c r="K209" s="79">
        <f t="shared" si="43"/>
        <v>0</v>
      </c>
    </row>
    <row r="210" spans="2:16">
      <c r="B210" s="81" t="s">
        <v>281</v>
      </c>
      <c r="C210" s="79">
        <v>58800059.259999998</v>
      </c>
      <c r="D210" s="79">
        <v>61263731.18</v>
      </c>
      <c r="F210" s="88">
        <f t="shared" si="41"/>
        <v>-2463671.9200000018</v>
      </c>
      <c r="G210" s="92">
        <f t="shared" si="42"/>
        <v>-4.0214199699353047E-2</v>
      </c>
      <c r="J210" s="73">
        <v>61263731.18</v>
      </c>
      <c r="K210" s="79">
        <f t="shared" si="43"/>
        <v>0</v>
      </c>
      <c r="M210" s="131">
        <v>58800059.259999998</v>
      </c>
      <c r="N210" s="73">
        <v>61263731.18</v>
      </c>
      <c r="O210" s="73">
        <f t="shared" ref="O210:O250" si="46">+C210-M210</f>
        <v>0</v>
      </c>
      <c r="P210" s="73">
        <f t="shared" ref="P210:P250" si="47">+D210-N210</f>
        <v>0</v>
      </c>
    </row>
    <row r="211" spans="2:16">
      <c r="B211" s="76" t="s">
        <v>282</v>
      </c>
      <c r="C211" s="134"/>
      <c r="D211" s="134"/>
      <c r="F211" s="88"/>
      <c r="G211" s="92"/>
      <c r="K211" s="79">
        <f t="shared" si="43"/>
        <v>0</v>
      </c>
      <c r="O211" s="73">
        <f t="shared" si="46"/>
        <v>0</v>
      </c>
      <c r="P211" s="73">
        <f t="shared" si="47"/>
        <v>0</v>
      </c>
    </row>
    <row r="212" spans="2:16">
      <c r="B212" s="81" t="s">
        <v>283</v>
      </c>
      <c r="C212" s="79">
        <v>2269982912.8200002</v>
      </c>
      <c r="D212" s="79">
        <v>2196051646.5500002</v>
      </c>
      <c r="F212" s="88">
        <f t="shared" si="41"/>
        <v>73931266.269999981</v>
      </c>
      <c r="G212" s="92">
        <f t="shared" si="42"/>
        <v>3.3665540783681516E-2</v>
      </c>
      <c r="J212" s="73">
        <v>2196051646.5500002</v>
      </c>
      <c r="K212" s="79">
        <f t="shared" si="43"/>
        <v>0</v>
      </c>
      <c r="M212" s="131">
        <v>2269982912.8200002</v>
      </c>
      <c r="N212" s="73">
        <v>2196051646.5500002</v>
      </c>
      <c r="O212" s="73">
        <f t="shared" si="46"/>
        <v>0</v>
      </c>
      <c r="P212" s="73">
        <f t="shared" si="47"/>
        <v>0</v>
      </c>
    </row>
    <row r="213" spans="2:16">
      <c r="B213" s="81" t="s">
        <v>284</v>
      </c>
      <c r="C213" s="77">
        <v>0</v>
      </c>
      <c r="D213" s="77">
        <v>0</v>
      </c>
      <c r="F213" s="88">
        <f t="shared" si="41"/>
        <v>0</v>
      </c>
      <c r="G213" s="92" t="e">
        <f t="shared" si="42"/>
        <v>#DIV/0!</v>
      </c>
      <c r="J213">
        <v>0</v>
      </c>
      <c r="K213" s="79">
        <f t="shared" si="43"/>
        <v>0</v>
      </c>
      <c r="O213" s="73">
        <f t="shared" si="46"/>
        <v>0</v>
      </c>
      <c r="P213" s="73">
        <f t="shared" si="47"/>
        <v>0</v>
      </c>
    </row>
    <row r="214" spans="2:16">
      <c r="B214" s="81" t="s">
        <v>285</v>
      </c>
      <c r="C214" s="79">
        <v>1085445940.78</v>
      </c>
      <c r="D214" s="79">
        <v>722986707.88999999</v>
      </c>
      <c r="F214" s="88">
        <f t="shared" si="41"/>
        <v>362459232.88999999</v>
      </c>
      <c r="G214" s="92">
        <f t="shared" si="42"/>
        <v>0.50133595671187214</v>
      </c>
      <c r="H214" s="103" t="s">
        <v>237</v>
      </c>
      <c r="J214" s="73">
        <v>722986707.88999999</v>
      </c>
      <c r="K214" s="79">
        <f t="shared" si="43"/>
        <v>0</v>
      </c>
      <c r="M214" s="131">
        <v>1085445940.78</v>
      </c>
      <c r="N214" s="73">
        <v>722986707.88999999</v>
      </c>
      <c r="O214" s="73">
        <f t="shared" si="46"/>
        <v>0</v>
      </c>
      <c r="P214" s="73">
        <f t="shared" si="47"/>
        <v>0</v>
      </c>
    </row>
    <row r="215" spans="2:16">
      <c r="B215" s="81" t="s">
        <v>286</v>
      </c>
      <c r="C215" s="79">
        <v>2404419881.2399998</v>
      </c>
      <c r="D215" s="79">
        <v>1550805045.51</v>
      </c>
      <c r="F215" s="88">
        <f t="shared" si="41"/>
        <v>853614835.72999978</v>
      </c>
      <c r="G215" s="92">
        <f t="shared" si="42"/>
        <v>0.55043336246644647</v>
      </c>
      <c r="H215" s="103" t="s">
        <v>237</v>
      </c>
      <c r="J215" s="73">
        <v>1550805045.51</v>
      </c>
      <c r="K215" s="79">
        <f t="shared" si="43"/>
        <v>0</v>
      </c>
      <c r="M215" s="131">
        <v>2404419881.2399998</v>
      </c>
      <c r="N215" s="73">
        <v>1550805045.51</v>
      </c>
      <c r="O215" s="73">
        <f t="shared" si="46"/>
        <v>0</v>
      </c>
      <c r="P215" s="73">
        <f t="shared" si="47"/>
        <v>0</v>
      </c>
    </row>
    <row r="216" spans="2:16">
      <c r="B216" s="76" t="s">
        <v>287</v>
      </c>
      <c r="C216" s="134"/>
      <c r="D216" s="134"/>
      <c r="F216" s="88"/>
      <c r="G216" s="92"/>
      <c r="K216" s="79">
        <f t="shared" si="43"/>
        <v>0</v>
      </c>
      <c r="O216" s="73">
        <f t="shared" si="46"/>
        <v>0</v>
      </c>
      <c r="P216" s="73">
        <f t="shared" si="47"/>
        <v>0</v>
      </c>
    </row>
    <row r="217" spans="2:16">
      <c r="B217" s="81" t="s">
        <v>288</v>
      </c>
      <c r="C217" s="79">
        <v>1655226657.73</v>
      </c>
      <c r="D217" s="79">
        <v>1496367920.6500001</v>
      </c>
      <c r="F217" s="88">
        <f t="shared" si="41"/>
        <v>158858737.07999992</v>
      </c>
      <c r="G217" s="92">
        <f t="shared" si="42"/>
        <v>0.10616288607082276</v>
      </c>
      <c r="J217" s="73">
        <v>1496367920.6500001</v>
      </c>
      <c r="K217" s="79">
        <f t="shared" si="43"/>
        <v>0</v>
      </c>
      <c r="M217" s="131">
        <v>1655226657.73</v>
      </c>
      <c r="N217" s="73">
        <v>1496367920.6500001</v>
      </c>
      <c r="O217" s="73">
        <f t="shared" si="46"/>
        <v>0</v>
      </c>
      <c r="P217" s="73">
        <f t="shared" si="47"/>
        <v>0</v>
      </c>
    </row>
    <row r="218" spans="2:16">
      <c r="B218" s="81" t="s">
        <v>289</v>
      </c>
      <c r="C218" s="79">
        <v>11095294574.030001</v>
      </c>
      <c r="D218" s="79">
        <v>11945131217.469999</v>
      </c>
      <c r="F218" s="88">
        <f t="shared" si="41"/>
        <v>-849836643.43999863</v>
      </c>
      <c r="G218" s="92">
        <f t="shared" si="42"/>
        <v>-7.1145023689408712E-2</v>
      </c>
      <c r="J218" s="73">
        <v>11945131217.469999</v>
      </c>
      <c r="K218" s="79">
        <f t="shared" si="43"/>
        <v>0</v>
      </c>
      <c r="M218" s="131">
        <v>11095294574.030001</v>
      </c>
      <c r="N218" s="73">
        <v>11945131217.469999</v>
      </c>
      <c r="O218" s="73">
        <f t="shared" si="46"/>
        <v>0</v>
      </c>
      <c r="P218" s="73">
        <f t="shared" si="47"/>
        <v>0</v>
      </c>
    </row>
    <row r="219" spans="2:16">
      <c r="B219" s="81" t="s">
        <v>290</v>
      </c>
      <c r="C219" s="79">
        <v>3514440515.1999998</v>
      </c>
      <c r="D219" s="79">
        <v>1180226580.72</v>
      </c>
      <c r="F219" s="88">
        <f t="shared" si="41"/>
        <v>2334213934.4799995</v>
      </c>
      <c r="G219" s="92">
        <f t="shared" si="42"/>
        <v>1.9777676359873262</v>
      </c>
      <c r="H219" s="103" t="s">
        <v>237</v>
      </c>
      <c r="J219" s="73">
        <v>1180226580.72</v>
      </c>
      <c r="K219" s="79">
        <f t="shared" si="43"/>
        <v>0</v>
      </c>
      <c r="M219" s="131">
        <v>3514440515.1999998</v>
      </c>
      <c r="N219" s="73">
        <v>1180226580.72</v>
      </c>
      <c r="O219" s="73">
        <f t="shared" si="46"/>
        <v>0</v>
      </c>
      <c r="P219" s="73">
        <f t="shared" si="47"/>
        <v>0</v>
      </c>
    </row>
    <row r="220" spans="2:16">
      <c r="B220" s="81" t="s">
        <v>291</v>
      </c>
      <c r="C220" s="79">
        <v>327568451.76999998</v>
      </c>
      <c r="D220" s="79">
        <v>345781563.47000003</v>
      </c>
      <c r="F220" s="88">
        <f t="shared" si="41"/>
        <v>-18213111.700000048</v>
      </c>
      <c r="G220" s="92">
        <f t="shared" si="42"/>
        <v>-5.2672304206236885E-2</v>
      </c>
      <c r="J220" s="73">
        <v>345781563.47000003</v>
      </c>
      <c r="K220" s="79">
        <f t="shared" si="43"/>
        <v>0</v>
      </c>
      <c r="M220" s="131">
        <v>327568451.76999998</v>
      </c>
      <c r="N220" s="73">
        <v>345781563.47000003</v>
      </c>
      <c r="O220" s="73">
        <f t="shared" si="46"/>
        <v>0</v>
      </c>
      <c r="P220" s="73">
        <f t="shared" si="47"/>
        <v>0</v>
      </c>
    </row>
    <row r="221" spans="2:16">
      <c r="B221" s="81" t="s">
        <v>292</v>
      </c>
      <c r="C221" s="79">
        <v>4826718.75</v>
      </c>
      <c r="D221" s="79">
        <v>5439104.8799999999</v>
      </c>
      <c r="F221" s="88">
        <f t="shared" si="41"/>
        <v>-612386.12999999989</v>
      </c>
      <c r="G221" s="92">
        <f t="shared" si="42"/>
        <v>-0.11258950572028681</v>
      </c>
      <c r="J221" s="73">
        <v>5439104.8799999999</v>
      </c>
      <c r="K221" s="79">
        <f t="shared" si="43"/>
        <v>0</v>
      </c>
      <c r="M221" s="131">
        <v>4826718.75</v>
      </c>
      <c r="N221" s="73">
        <v>5439104.8799999999</v>
      </c>
      <c r="O221" s="73">
        <f t="shared" si="46"/>
        <v>0</v>
      </c>
      <c r="P221" s="73">
        <f t="shared" si="47"/>
        <v>0</v>
      </c>
    </row>
    <row r="222" spans="2:16">
      <c r="B222" s="81" t="s">
        <v>293</v>
      </c>
      <c r="C222" s="79">
        <v>4130792722.3899999</v>
      </c>
      <c r="D222" s="79">
        <v>1229551772.4400001</v>
      </c>
      <c r="F222" s="88">
        <f t="shared" si="41"/>
        <v>2901240949.9499998</v>
      </c>
      <c r="G222" s="92">
        <f t="shared" si="42"/>
        <v>2.3595923449344425</v>
      </c>
      <c r="H222" s="103" t="s">
        <v>237</v>
      </c>
      <c r="J222" s="73">
        <v>1229551772.4400001</v>
      </c>
      <c r="K222" s="79">
        <f t="shared" si="43"/>
        <v>0</v>
      </c>
      <c r="M222" s="131">
        <v>4130792722.3899999</v>
      </c>
      <c r="N222" s="73">
        <v>1229551772.4400001</v>
      </c>
      <c r="O222" s="73">
        <f t="shared" si="46"/>
        <v>0</v>
      </c>
      <c r="P222" s="73">
        <f t="shared" si="47"/>
        <v>0</v>
      </c>
    </row>
    <row r="223" spans="2:16">
      <c r="B223" s="76" t="s">
        <v>294</v>
      </c>
      <c r="C223" s="134"/>
      <c r="D223" s="134"/>
      <c r="F223" s="88"/>
      <c r="G223" s="92"/>
      <c r="K223" s="79">
        <f t="shared" si="43"/>
        <v>0</v>
      </c>
      <c r="O223" s="73">
        <f t="shared" si="46"/>
        <v>0</v>
      </c>
      <c r="P223" s="73">
        <f t="shared" si="47"/>
        <v>0</v>
      </c>
    </row>
    <row r="224" spans="2:16">
      <c r="B224" s="81" t="s">
        <v>295</v>
      </c>
      <c r="C224" s="79">
        <v>992998.83</v>
      </c>
      <c r="D224" s="79">
        <v>2831538.13</v>
      </c>
      <c r="F224" s="88">
        <f t="shared" si="41"/>
        <v>-1838539.2999999998</v>
      </c>
      <c r="G224" s="92">
        <f t="shared" si="42"/>
        <v>-0.64930762560488631</v>
      </c>
      <c r="H224" s="140" t="s">
        <v>237</v>
      </c>
      <c r="J224" s="73">
        <v>2831538.13</v>
      </c>
      <c r="K224" s="79">
        <f t="shared" si="43"/>
        <v>0</v>
      </c>
      <c r="M224" s="131">
        <v>992998.83</v>
      </c>
      <c r="N224" s="73">
        <v>2831538.13</v>
      </c>
      <c r="O224" s="73">
        <f t="shared" si="46"/>
        <v>0</v>
      </c>
      <c r="P224" s="73">
        <f t="shared" si="47"/>
        <v>0</v>
      </c>
    </row>
    <row r="225" spans="2:16">
      <c r="B225" s="81" t="s">
        <v>296</v>
      </c>
      <c r="C225" s="79">
        <v>47201308.32</v>
      </c>
      <c r="D225" s="79">
        <v>115798251.22</v>
      </c>
      <c r="F225" s="88">
        <f t="shared" si="41"/>
        <v>-68596942.900000006</v>
      </c>
      <c r="G225" s="92">
        <f t="shared" si="42"/>
        <v>-0.59238323702899187</v>
      </c>
      <c r="H225" s="140" t="s">
        <v>237</v>
      </c>
      <c r="J225" s="73">
        <v>115798251.22</v>
      </c>
      <c r="K225" s="79">
        <f t="shared" si="43"/>
        <v>0</v>
      </c>
      <c r="M225" s="131">
        <v>47201308.32</v>
      </c>
      <c r="N225" s="73">
        <v>115798251.22</v>
      </c>
      <c r="O225" s="73">
        <f t="shared" si="46"/>
        <v>0</v>
      </c>
      <c r="P225" s="73">
        <f t="shared" si="47"/>
        <v>0</v>
      </c>
    </row>
    <row r="226" spans="2:16">
      <c r="B226" s="78" t="s">
        <v>297</v>
      </c>
      <c r="C226" s="101">
        <v>258882787.88</v>
      </c>
      <c r="D226" s="101">
        <v>367951670.26999998</v>
      </c>
      <c r="F226" s="88">
        <f t="shared" si="41"/>
        <v>-109068882.38999999</v>
      </c>
      <c r="G226" s="92">
        <f t="shared" si="42"/>
        <v>-0.29642176188510333</v>
      </c>
      <c r="H226" s="140" t="s">
        <v>237</v>
      </c>
      <c r="J226" s="73">
        <v>367951670.26999998</v>
      </c>
      <c r="K226" s="79">
        <f t="shared" si="43"/>
        <v>0</v>
      </c>
      <c r="M226" s="131">
        <v>258882787.88</v>
      </c>
      <c r="N226" s="73">
        <v>367951670.26999998</v>
      </c>
      <c r="O226" s="73">
        <f t="shared" si="46"/>
        <v>0</v>
      </c>
      <c r="P226" s="73">
        <f t="shared" si="47"/>
        <v>0</v>
      </c>
    </row>
    <row r="227" spans="2:16">
      <c r="B227" s="78" t="s">
        <v>298</v>
      </c>
      <c r="C227" s="101"/>
      <c r="D227" s="101"/>
      <c r="F227" s="88"/>
      <c r="G227" s="92"/>
      <c r="K227" s="79">
        <f t="shared" si="43"/>
        <v>0</v>
      </c>
      <c r="O227" s="73">
        <f t="shared" si="46"/>
        <v>0</v>
      </c>
      <c r="P227" s="73">
        <f t="shared" si="47"/>
        <v>0</v>
      </c>
    </row>
    <row r="228" spans="2:16">
      <c r="B228" s="81" t="s">
        <v>299</v>
      </c>
      <c r="C228" s="79">
        <v>18933075.170000002</v>
      </c>
      <c r="D228" s="79">
        <v>36304867.280000001</v>
      </c>
      <c r="F228" s="88">
        <f t="shared" si="41"/>
        <v>-17371792.109999999</v>
      </c>
      <c r="G228" s="92">
        <f t="shared" si="42"/>
        <v>-0.47849760683658937</v>
      </c>
      <c r="H228" s="140" t="s">
        <v>237</v>
      </c>
      <c r="J228" s="73">
        <v>36304867.280000001</v>
      </c>
      <c r="K228" s="79">
        <f t="shared" si="43"/>
        <v>0</v>
      </c>
      <c r="M228" s="131">
        <v>18933075.170000002</v>
      </c>
      <c r="N228" s="73">
        <v>36304867.280000001</v>
      </c>
      <c r="O228" s="73">
        <f t="shared" si="46"/>
        <v>0</v>
      </c>
      <c r="P228" s="73">
        <f t="shared" si="47"/>
        <v>0</v>
      </c>
    </row>
    <row r="229" spans="2:16">
      <c r="B229" s="78" t="s">
        <v>300</v>
      </c>
      <c r="C229" s="79">
        <v>178184486.36000001</v>
      </c>
      <c r="D229" s="79">
        <v>197229768.69999999</v>
      </c>
      <c r="F229" s="88">
        <f t="shared" si="41"/>
        <v>-19045282.339999974</v>
      </c>
      <c r="G229" s="92">
        <f t="shared" si="42"/>
        <v>-9.6563933860152495E-2</v>
      </c>
      <c r="J229" s="73">
        <v>197229768.69999999</v>
      </c>
      <c r="K229" s="79">
        <f t="shared" si="43"/>
        <v>0</v>
      </c>
      <c r="M229" s="131">
        <v>178184486.36000001</v>
      </c>
      <c r="N229" s="73">
        <v>197229768.69999999</v>
      </c>
      <c r="O229" s="73">
        <f t="shared" si="46"/>
        <v>0</v>
      </c>
      <c r="P229" s="73">
        <f t="shared" si="47"/>
        <v>0</v>
      </c>
    </row>
    <row r="230" spans="2:16">
      <c r="B230" s="81" t="s">
        <v>301</v>
      </c>
      <c r="C230" s="79"/>
      <c r="D230" s="79"/>
      <c r="F230" s="88"/>
      <c r="G230" s="92"/>
      <c r="K230" s="79">
        <f t="shared" si="43"/>
        <v>0</v>
      </c>
      <c r="O230" s="73">
        <f t="shared" si="46"/>
        <v>0</v>
      </c>
      <c r="P230" s="73">
        <f t="shared" si="47"/>
        <v>0</v>
      </c>
    </row>
    <row r="231" spans="2:16">
      <c r="B231" s="78" t="s">
        <v>302</v>
      </c>
      <c r="C231" s="135">
        <v>432596239.32999998</v>
      </c>
      <c r="D231" s="101">
        <v>507296034.93000001</v>
      </c>
      <c r="F231" s="88">
        <f t="shared" si="41"/>
        <v>-74699795.600000024</v>
      </c>
      <c r="G231" s="92">
        <f t="shared" si="42"/>
        <v>-0.14725089584094145</v>
      </c>
      <c r="J231" s="73">
        <v>507296034.93000001</v>
      </c>
      <c r="K231" s="79">
        <f t="shared" si="43"/>
        <v>0</v>
      </c>
      <c r="M231" s="131">
        <v>432596239.32999998</v>
      </c>
      <c r="N231" s="73">
        <v>507296034.93000001</v>
      </c>
      <c r="O231" s="73">
        <f t="shared" si="46"/>
        <v>0</v>
      </c>
      <c r="P231" s="73">
        <f t="shared" si="47"/>
        <v>0</v>
      </c>
    </row>
    <row r="232" spans="2:16">
      <c r="B232" s="78" t="s">
        <v>301</v>
      </c>
      <c r="C232" s="135"/>
      <c r="D232" s="101"/>
      <c r="F232" s="88"/>
      <c r="G232" s="92"/>
      <c r="K232" s="79">
        <f t="shared" si="43"/>
        <v>0</v>
      </c>
      <c r="O232" s="73">
        <f t="shared" si="46"/>
        <v>0</v>
      </c>
      <c r="P232" s="73">
        <f t="shared" si="47"/>
        <v>0</v>
      </c>
    </row>
    <row r="233" spans="2:16">
      <c r="B233" s="78" t="s">
        <v>303</v>
      </c>
      <c r="C233" s="100">
        <v>0</v>
      </c>
      <c r="D233" s="101">
        <v>5230139.5999999996</v>
      </c>
      <c r="F233" s="88">
        <f t="shared" si="41"/>
        <v>-5230139.5999999996</v>
      </c>
      <c r="G233" s="92">
        <f t="shared" si="42"/>
        <v>-1</v>
      </c>
      <c r="H233" s="140" t="s">
        <v>237</v>
      </c>
      <c r="J233" s="73">
        <v>5230139.5999999996</v>
      </c>
      <c r="K233" s="79">
        <f t="shared" si="43"/>
        <v>0</v>
      </c>
      <c r="M233" s="133">
        <v>0</v>
      </c>
      <c r="N233" s="73">
        <v>5230139.5999999996</v>
      </c>
      <c r="O233" s="73">
        <f t="shared" si="46"/>
        <v>0</v>
      </c>
      <c r="P233" s="73">
        <f t="shared" si="47"/>
        <v>0</v>
      </c>
    </row>
    <row r="234" spans="2:16">
      <c r="B234" s="81" t="s">
        <v>301</v>
      </c>
      <c r="C234" s="100"/>
      <c r="D234" s="101"/>
      <c r="F234" s="88"/>
      <c r="G234" s="92"/>
      <c r="K234" s="79">
        <f t="shared" si="43"/>
        <v>0</v>
      </c>
      <c r="O234" s="73">
        <f t="shared" si="46"/>
        <v>0</v>
      </c>
      <c r="P234" s="73">
        <f t="shared" si="47"/>
        <v>0</v>
      </c>
    </row>
    <row r="235" spans="2:16">
      <c r="B235" s="81" t="s">
        <v>304</v>
      </c>
      <c r="C235" s="79">
        <v>2128143512.9200001</v>
      </c>
      <c r="D235" s="79">
        <v>1221137927.04</v>
      </c>
      <c r="F235" s="88">
        <f t="shared" si="41"/>
        <v>907005585.88000011</v>
      </c>
      <c r="G235" s="92">
        <f t="shared" si="42"/>
        <v>0.74275441438343759</v>
      </c>
      <c r="H235" s="103" t="s">
        <v>237</v>
      </c>
      <c r="J235" s="73">
        <v>1221137927.04</v>
      </c>
      <c r="K235" s="79">
        <f t="shared" si="43"/>
        <v>0</v>
      </c>
      <c r="M235" s="131">
        <v>2128143512.9200001</v>
      </c>
      <c r="N235" s="73">
        <v>1221137927.04</v>
      </c>
      <c r="O235" s="73">
        <f t="shared" si="46"/>
        <v>0</v>
      </c>
      <c r="P235" s="73">
        <f t="shared" si="47"/>
        <v>0</v>
      </c>
    </row>
    <row r="236" spans="2:16">
      <c r="B236" s="78" t="s">
        <v>305</v>
      </c>
      <c r="C236" s="101">
        <v>37265695.030000001</v>
      </c>
      <c r="D236" s="101">
        <v>37447959.18</v>
      </c>
      <c r="F236" s="88">
        <f t="shared" si="41"/>
        <v>-182264.14999999851</v>
      </c>
      <c r="G236" s="92">
        <f t="shared" si="42"/>
        <v>-4.8671317206877632E-3</v>
      </c>
      <c r="J236" s="73">
        <v>37447959.18</v>
      </c>
      <c r="K236" s="79">
        <f t="shared" si="43"/>
        <v>0</v>
      </c>
      <c r="M236" s="131">
        <v>37265695.030000001</v>
      </c>
      <c r="N236" s="73">
        <v>37447959.18</v>
      </c>
      <c r="O236" s="73">
        <f t="shared" si="46"/>
        <v>0</v>
      </c>
      <c r="P236" s="73">
        <f t="shared" si="47"/>
        <v>0</v>
      </c>
    </row>
    <row r="237" spans="2:16">
      <c r="B237" s="81" t="s">
        <v>301</v>
      </c>
      <c r="C237" s="101"/>
      <c r="D237" s="101"/>
      <c r="F237" s="88"/>
      <c r="G237" s="92"/>
      <c r="K237" s="79">
        <f t="shared" si="43"/>
        <v>0</v>
      </c>
      <c r="O237" s="73">
        <f t="shared" si="46"/>
        <v>0</v>
      </c>
      <c r="P237" s="73">
        <f t="shared" si="47"/>
        <v>0</v>
      </c>
    </row>
    <row r="238" spans="2:16">
      <c r="B238" s="78" t="s">
        <v>306</v>
      </c>
      <c r="C238" s="79">
        <v>173860908.69</v>
      </c>
      <c r="D238" s="79">
        <v>379872292.72000003</v>
      </c>
      <c r="F238" s="88">
        <f t="shared" si="41"/>
        <v>-206011384.03000003</v>
      </c>
      <c r="G238" s="92">
        <f t="shared" si="42"/>
        <v>-0.54231747873712099</v>
      </c>
      <c r="H238" s="140" t="s">
        <v>237</v>
      </c>
      <c r="J238" s="73">
        <v>379872292.72000003</v>
      </c>
      <c r="K238" s="79">
        <f t="shared" si="43"/>
        <v>0</v>
      </c>
      <c r="M238" s="131">
        <v>173860908.69</v>
      </c>
      <c r="N238" s="73">
        <v>379872292.72000003</v>
      </c>
      <c r="O238" s="73">
        <f t="shared" si="46"/>
        <v>0</v>
      </c>
      <c r="P238" s="73">
        <f t="shared" si="47"/>
        <v>0</v>
      </c>
    </row>
    <row r="239" spans="2:16">
      <c r="B239" s="76" t="s">
        <v>307</v>
      </c>
      <c r="C239" s="77"/>
      <c r="D239" s="77"/>
      <c r="F239" s="88"/>
      <c r="G239" s="92"/>
      <c r="K239" s="79">
        <f t="shared" si="43"/>
        <v>0</v>
      </c>
      <c r="O239" s="73">
        <f t="shared" si="46"/>
        <v>0</v>
      </c>
      <c r="P239" s="73">
        <f t="shared" si="47"/>
        <v>0</v>
      </c>
    </row>
    <row r="240" spans="2:16">
      <c r="B240" s="81" t="s">
        <v>308</v>
      </c>
      <c r="C240" s="79">
        <v>361953531.17000002</v>
      </c>
      <c r="D240" s="79">
        <v>398031954.23000002</v>
      </c>
      <c r="F240" s="88">
        <f t="shared" si="41"/>
        <v>-36078423.060000002</v>
      </c>
      <c r="G240" s="92">
        <f t="shared" si="42"/>
        <v>-9.0642026793538125E-2</v>
      </c>
      <c r="J240" s="73">
        <v>398031954.23000002</v>
      </c>
      <c r="K240" s="79">
        <f t="shared" si="43"/>
        <v>0</v>
      </c>
      <c r="M240" s="131">
        <v>361953531.17000002</v>
      </c>
      <c r="N240" s="73">
        <v>398031954.23000002</v>
      </c>
      <c r="O240" s="73">
        <f t="shared" si="46"/>
        <v>0</v>
      </c>
      <c r="P240" s="73">
        <f t="shared" si="47"/>
        <v>0</v>
      </c>
    </row>
    <row r="241" spans="2:16">
      <c r="B241" s="81" t="s">
        <v>309</v>
      </c>
      <c r="C241" s="77">
        <v>0</v>
      </c>
      <c r="D241" s="79">
        <v>15811.96</v>
      </c>
      <c r="F241" s="88">
        <f t="shared" si="41"/>
        <v>-15811.96</v>
      </c>
      <c r="G241" s="92">
        <f t="shared" si="42"/>
        <v>-1</v>
      </c>
      <c r="H241" s="140" t="s">
        <v>237</v>
      </c>
      <c r="J241" s="73">
        <v>15811.96</v>
      </c>
      <c r="K241" s="79">
        <f t="shared" si="43"/>
        <v>0</v>
      </c>
      <c r="M241" s="133">
        <v>0</v>
      </c>
      <c r="N241" s="73">
        <v>15811.96</v>
      </c>
      <c r="O241" s="73">
        <f t="shared" si="46"/>
        <v>0</v>
      </c>
      <c r="P241" s="73">
        <f t="shared" si="47"/>
        <v>0</v>
      </c>
    </row>
    <row r="242" spans="2:16">
      <c r="B242" s="76" t="s">
        <v>310</v>
      </c>
      <c r="C242" s="77"/>
      <c r="D242" s="77"/>
      <c r="F242" s="88"/>
      <c r="G242" s="92"/>
      <c r="K242" s="79">
        <f t="shared" si="43"/>
        <v>0</v>
      </c>
      <c r="O242" s="73">
        <f t="shared" si="46"/>
        <v>0</v>
      </c>
      <c r="P242" s="73">
        <f t="shared" si="47"/>
        <v>0</v>
      </c>
    </row>
    <row r="243" spans="2:16">
      <c r="B243" s="78" t="s">
        <v>311</v>
      </c>
      <c r="C243" s="79">
        <v>30917744.079999998</v>
      </c>
      <c r="D243" s="79">
        <v>13764123.66</v>
      </c>
      <c r="F243" s="88">
        <f t="shared" si="41"/>
        <v>17153620.419999998</v>
      </c>
      <c r="G243" s="92">
        <f t="shared" si="42"/>
        <v>1.2462559072939916</v>
      </c>
      <c r="H243" s="103" t="s">
        <v>237</v>
      </c>
      <c r="J243" s="73">
        <v>13764123.66</v>
      </c>
      <c r="K243" s="79">
        <f t="shared" si="43"/>
        <v>0</v>
      </c>
      <c r="M243" s="131">
        <v>30917744.079999998</v>
      </c>
      <c r="N243" s="73">
        <v>13764123.66</v>
      </c>
      <c r="O243" s="73">
        <f t="shared" si="46"/>
        <v>0</v>
      </c>
      <c r="P243" s="73">
        <f t="shared" si="47"/>
        <v>0</v>
      </c>
    </row>
    <row r="244" spans="2:16">
      <c r="B244" s="81" t="s">
        <v>312</v>
      </c>
      <c r="C244" s="79">
        <v>442679.05</v>
      </c>
      <c r="D244" s="79">
        <v>1050326.33</v>
      </c>
      <c r="F244" s="88">
        <f t="shared" si="41"/>
        <v>-607647.28</v>
      </c>
      <c r="G244" s="92">
        <f t="shared" si="42"/>
        <v>-0.57853189303556729</v>
      </c>
      <c r="H244" s="140" t="s">
        <v>237</v>
      </c>
      <c r="J244" s="73">
        <v>1050326.33</v>
      </c>
      <c r="K244" s="79">
        <f t="shared" si="43"/>
        <v>0</v>
      </c>
      <c r="M244" s="131">
        <v>442679.05</v>
      </c>
      <c r="N244" s="73">
        <v>1050326.33</v>
      </c>
      <c r="O244" s="73">
        <f t="shared" si="46"/>
        <v>0</v>
      </c>
      <c r="P244" s="73">
        <f t="shared" si="47"/>
        <v>0</v>
      </c>
    </row>
    <row r="245" spans="2:16">
      <c r="B245" s="76" t="s">
        <v>313</v>
      </c>
      <c r="C245" s="77"/>
      <c r="D245" s="77"/>
      <c r="F245" s="88"/>
      <c r="G245" s="92"/>
      <c r="K245" s="79">
        <f t="shared" si="43"/>
        <v>0</v>
      </c>
      <c r="O245" s="73">
        <f t="shared" si="46"/>
        <v>0</v>
      </c>
      <c r="P245" s="73">
        <f t="shared" si="47"/>
        <v>0</v>
      </c>
    </row>
    <row r="246" spans="2:16">
      <c r="B246" s="100" t="s">
        <v>314</v>
      </c>
      <c r="C246" s="79">
        <v>49743517.700000003</v>
      </c>
      <c r="D246" s="79">
        <v>2233869940.5599999</v>
      </c>
      <c r="F246" s="88">
        <f t="shared" si="41"/>
        <v>-2184126422.8600001</v>
      </c>
      <c r="G246" s="92">
        <f t="shared" si="42"/>
        <v>-0.97773213346183896</v>
      </c>
      <c r="H246" s="103" t="s">
        <v>237</v>
      </c>
      <c r="J246" s="73">
        <v>2233869940.5599999</v>
      </c>
      <c r="K246" s="79">
        <f t="shared" si="43"/>
        <v>0</v>
      </c>
      <c r="M246" s="131">
        <v>49743517.700000003</v>
      </c>
      <c r="N246" s="73">
        <v>2233869940.5599999</v>
      </c>
      <c r="O246" s="73">
        <f t="shared" si="46"/>
        <v>0</v>
      </c>
      <c r="P246" s="73">
        <f t="shared" si="47"/>
        <v>0</v>
      </c>
    </row>
    <row r="247" spans="2:16" ht="15.6" customHeight="1">
      <c r="B247" s="100" t="s">
        <v>315</v>
      </c>
      <c r="C247" s="79">
        <v>5965573347.4200001</v>
      </c>
      <c r="D247" s="79">
        <v>3985965127.21</v>
      </c>
      <c r="F247" s="88">
        <f t="shared" si="41"/>
        <v>1979608220.21</v>
      </c>
      <c r="G247" s="92">
        <f t="shared" si="42"/>
        <v>0.49664464114256779</v>
      </c>
      <c r="H247" s="103" t="s">
        <v>167</v>
      </c>
      <c r="J247" s="73">
        <v>3985965127.21</v>
      </c>
      <c r="K247" s="79">
        <f t="shared" si="43"/>
        <v>0</v>
      </c>
      <c r="M247" s="131">
        <v>5965573347.4200001</v>
      </c>
      <c r="N247" s="131">
        <v>3985965127.21</v>
      </c>
      <c r="O247" s="73">
        <f t="shared" si="46"/>
        <v>0</v>
      </c>
      <c r="P247" s="73">
        <f t="shared" si="47"/>
        <v>0</v>
      </c>
    </row>
    <row r="248" spans="2:16">
      <c r="B248" s="76" t="s">
        <v>316</v>
      </c>
      <c r="C248" s="77"/>
      <c r="D248" s="77"/>
      <c r="F248" s="88"/>
      <c r="G248" s="92"/>
      <c r="K248" s="79">
        <f t="shared" si="43"/>
        <v>0</v>
      </c>
      <c r="O248" s="73">
        <f t="shared" si="46"/>
        <v>0</v>
      </c>
      <c r="P248" s="73">
        <f t="shared" si="47"/>
        <v>0</v>
      </c>
    </row>
    <row r="249" spans="2:16">
      <c r="B249" s="78" t="s">
        <v>317</v>
      </c>
      <c r="C249" s="79">
        <v>24974000</v>
      </c>
      <c r="D249" s="79">
        <v>17950000</v>
      </c>
      <c r="F249" s="88">
        <f t="shared" si="41"/>
        <v>7024000</v>
      </c>
      <c r="G249" s="92">
        <f t="shared" si="42"/>
        <v>0.3913091922005571</v>
      </c>
      <c r="H249" s="103" t="s">
        <v>167</v>
      </c>
      <c r="J249" s="73">
        <v>17950000</v>
      </c>
      <c r="K249" s="79">
        <f t="shared" si="43"/>
        <v>0</v>
      </c>
      <c r="M249" s="131">
        <v>24974000</v>
      </c>
      <c r="N249" s="73">
        <v>17950000</v>
      </c>
      <c r="O249" s="73">
        <f t="shared" si="46"/>
        <v>0</v>
      </c>
      <c r="P249" s="73">
        <f t="shared" si="47"/>
        <v>0</v>
      </c>
    </row>
    <row r="250" spans="2:16" ht="15" thickBot="1">
      <c r="B250" s="82" t="s">
        <v>316</v>
      </c>
      <c r="C250" s="83">
        <v>235810943.97999999</v>
      </c>
      <c r="D250" s="83">
        <v>113584963.18000001</v>
      </c>
      <c r="F250" s="88">
        <f t="shared" si="41"/>
        <v>122225980.79999998</v>
      </c>
      <c r="G250" s="92">
        <f t="shared" si="42"/>
        <v>1.0760753657709641</v>
      </c>
      <c r="H250" s="103" t="s">
        <v>167</v>
      </c>
      <c r="J250" s="73">
        <v>113584963.18000001</v>
      </c>
      <c r="K250" s="79">
        <f t="shared" si="43"/>
        <v>0</v>
      </c>
      <c r="M250" s="131">
        <v>235810943.97999999</v>
      </c>
      <c r="N250" s="73">
        <v>113584963.18000001</v>
      </c>
      <c r="O250" s="73">
        <f t="shared" si="46"/>
        <v>0</v>
      </c>
      <c r="P250" s="73">
        <f t="shared" si="47"/>
        <v>0</v>
      </c>
    </row>
    <row r="251" spans="2:16" ht="15" thickBot="1">
      <c r="B251" s="84" t="s">
        <v>35</v>
      </c>
      <c r="C251" s="85">
        <v>40103500794.059998</v>
      </c>
      <c r="D251" s="106">
        <v>33947131386.279999</v>
      </c>
      <c r="J251" s="73">
        <v>33947131386.279999</v>
      </c>
      <c r="K251" s="79">
        <f t="shared" si="43"/>
        <v>0</v>
      </c>
      <c r="M251" s="131">
        <f>SUM(M208:M250)</f>
        <v>40103500794.060005</v>
      </c>
      <c r="N251" s="131">
        <f>SUM(N208:N250)</f>
        <v>33947131386.280006</v>
      </c>
      <c r="O251" s="73">
        <f t="shared" ref="O251" si="48">+C251-M251</f>
        <v>0</v>
      </c>
      <c r="P251" s="73">
        <f t="shared" ref="P251" si="49">+D251-N251</f>
        <v>0</v>
      </c>
    </row>
    <row r="252" spans="2:16">
      <c r="B252" s="96" t="s">
        <v>156</v>
      </c>
      <c r="C252" s="73">
        <f>SUM(C208:C250)</f>
        <v>40103500794.060005</v>
      </c>
      <c r="D252" s="73">
        <f>SUM(D208:D250)</f>
        <v>33947131386.280006</v>
      </c>
    </row>
    <row r="253" spans="2:16">
      <c r="B253" s="96" t="s">
        <v>156</v>
      </c>
      <c r="C253" s="73">
        <f>+C251-C252</f>
        <v>0</v>
      </c>
      <c r="D253" s="73">
        <f>+D251-D252</f>
        <v>0</v>
      </c>
    </row>
    <row r="254" spans="2:16">
      <c r="B254" s="108" t="s">
        <v>168</v>
      </c>
      <c r="C254" s="73">
        <f>+M251</f>
        <v>40103500794.060005</v>
      </c>
      <c r="D254" s="73">
        <f>+N251</f>
        <v>33947131386.280006</v>
      </c>
    </row>
    <row r="255" spans="2:16">
      <c r="B255" s="108" t="s">
        <v>168</v>
      </c>
      <c r="C255" s="73">
        <f>+C251-C254</f>
        <v>0</v>
      </c>
      <c r="D255" s="73">
        <f>+D251-D254</f>
        <v>0</v>
      </c>
    </row>
    <row r="257" spans="1:16" ht="15" thickBot="1">
      <c r="A257" s="141" t="s">
        <v>340</v>
      </c>
    </row>
    <row r="258" spans="1:16" ht="15" thickBot="1">
      <c r="B258" s="142"/>
      <c r="C258" s="75">
        <v>2022</v>
      </c>
      <c r="D258" s="75">
        <v>2021</v>
      </c>
    </row>
    <row r="259" spans="1:16" ht="15" thickBot="1">
      <c r="A259" s="108" t="s">
        <v>168</v>
      </c>
      <c r="B259" s="98" t="s">
        <v>341</v>
      </c>
      <c r="C259" s="83">
        <v>291223332</v>
      </c>
      <c r="D259" s="83">
        <v>131574000</v>
      </c>
      <c r="F259" s="88">
        <f t="shared" ref="F259" si="50">+C259-D259</f>
        <v>159649332</v>
      </c>
      <c r="G259" s="92">
        <f t="shared" ref="G259" si="51">+F259/D259</f>
        <v>1.2133805463085412</v>
      </c>
      <c r="H259" s="103" t="s">
        <v>237</v>
      </c>
      <c r="J259" s="73">
        <v>131574000</v>
      </c>
      <c r="K259" s="79">
        <f t="shared" ref="K259" si="52">+D259-J259</f>
        <v>0</v>
      </c>
      <c r="M259" s="131">
        <v>291223332</v>
      </c>
      <c r="N259" s="73">
        <v>131574000</v>
      </c>
      <c r="O259" s="73">
        <f t="shared" ref="O259" si="53">+C259-M259</f>
        <v>0</v>
      </c>
      <c r="P259" s="73">
        <f t="shared" ref="P259" si="54">+D259-N259</f>
        <v>0</v>
      </c>
    </row>
    <row r="260" spans="1:16" ht="15" thickBot="1">
      <c r="B260" s="112" t="s">
        <v>342</v>
      </c>
      <c r="C260" s="85">
        <v>291223332</v>
      </c>
      <c r="D260" s="85">
        <v>131574000</v>
      </c>
    </row>
    <row r="261" spans="1:16">
      <c r="B261" s="96" t="s">
        <v>156</v>
      </c>
      <c r="C261" s="73">
        <f>SUM(C259)</f>
        <v>291223332</v>
      </c>
      <c r="D261" s="73">
        <f>SUM(D259)</f>
        <v>131574000</v>
      </c>
    </row>
    <row r="262" spans="1:16">
      <c r="B262" s="96" t="s">
        <v>156</v>
      </c>
      <c r="C262" s="73">
        <f>+C260-C261</f>
        <v>0</v>
      </c>
      <c r="D262" s="73">
        <f>+D260-D261</f>
        <v>0</v>
      </c>
    </row>
    <row r="264" spans="1:16" ht="15" thickBot="1">
      <c r="A264" s="141" t="s">
        <v>343</v>
      </c>
    </row>
    <row r="265" spans="1:16" ht="15" thickBot="1">
      <c r="B265" s="75" t="s">
        <v>144</v>
      </c>
      <c r="C265" s="75">
        <v>2022</v>
      </c>
      <c r="D265" s="75">
        <v>2021</v>
      </c>
    </row>
    <row r="266" spans="1:16">
      <c r="B266" s="76" t="s">
        <v>344</v>
      </c>
      <c r="C266" s="130"/>
      <c r="D266" s="130"/>
    </row>
    <row r="267" spans="1:16">
      <c r="B267" s="81" t="s">
        <v>345</v>
      </c>
      <c r="C267" s="79">
        <v>5078414488.6300001</v>
      </c>
      <c r="D267" s="79">
        <v>7651696443.3400002</v>
      </c>
      <c r="F267" s="88">
        <f t="shared" ref="F267:F272" si="55">+C267-D267</f>
        <v>-2573281954.71</v>
      </c>
      <c r="G267" s="92">
        <f t="shared" ref="G267:G272" si="56">+F267/D267</f>
        <v>-0.33630214864963343</v>
      </c>
      <c r="H267" s="103" t="s">
        <v>237</v>
      </c>
      <c r="J267" s="73">
        <v>6051729793.3500004</v>
      </c>
      <c r="K267" s="79">
        <f t="shared" ref="K267:K270" si="57">+D267-J267</f>
        <v>1599966649.9899998</v>
      </c>
      <c r="M267" s="131">
        <v>5078414488.6300001</v>
      </c>
      <c r="N267" s="73">
        <v>7651696443.3400002</v>
      </c>
      <c r="O267" s="73">
        <f t="shared" ref="O267:O273" si="58">+C267-M267</f>
        <v>0</v>
      </c>
      <c r="P267" s="73">
        <f t="shared" ref="P267:P273" si="59">+D267-N267</f>
        <v>0</v>
      </c>
    </row>
    <row r="268" spans="1:16">
      <c r="B268" s="81" t="s">
        <v>346</v>
      </c>
      <c r="C268" s="79">
        <v>365644286.19999999</v>
      </c>
      <c r="D268" s="79">
        <v>221066826.59999999</v>
      </c>
      <c r="F268" s="88">
        <f t="shared" si="55"/>
        <v>144577459.59999999</v>
      </c>
      <c r="G268" s="92">
        <f t="shared" si="56"/>
        <v>0.65399889175411896</v>
      </c>
      <c r="H268" s="103" t="s">
        <v>237</v>
      </c>
      <c r="J268" s="73">
        <v>210244502.62</v>
      </c>
      <c r="K268" s="79">
        <f t="shared" si="57"/>
        <v>10822323.979999989</v>
      </c>
      <c r="M268" s="131">
        <v>365644286.19999999</v>
      </c>
      <c r="N268" s="73">
        <v>221066826.59999999</v>
      </c>
      <c r="O268" s="73">
        <f t="shared" si="58"/>
        <v>0</v>
      </c>
      <c r="P268" s="73">
        <f t="shared" si="59"/>
        <v>0</v>
      </c>
    </row>
    <row r="269" spans="1:16">
      <c r="B269" s="81" t="s">
        <v>347</v>
      </c>
      <c r="C269" s="79">
        <v>16303255.68</v>
      </c>
      <c r="D269" s="77">
        <v>0</v>
      </c>
      <c r="F269" s="88">
        <f t="shared" si="55"/>
        <v>16303255.68</v>
      </c>
      <c r="G269" s="92" t="e">
        <f t="shared" si="56"/>
        <v>#DIV/0!</v>
      </c>
      <c r="H269" s="103" t="s">
        <v>238</v>
      </c>
      <c r="J269" s="73">
        <v>0</v>
      </c>
      <c r="K269" s="79">
        <f t="shared" si="57"/>
        <v>0</v>
      </c>
      <c r="M269" s="131">
        <v>16303255.68</v>
      </c>
      <c r="N269">
        <v>0</v>
      </c>
      <c r="O269" s="73">
        <f t="shared" si="58"/>
        <v>0</v>
      </c>
      <c r="P269" s="73">
        <f t="shared" si="59"/>
        <v>0</v>
      </c>
    </row>
    <row r="270" spans="1:16">
      <c r="B270" s="81" t="s">
        <v>348</v>
      </c>
      <c r="C270" s="79">
        <v>5775.68</v>
      </c>
      <c r="D270" s="79">
        <v>5775.68</v>
      </c>
      <c r="F270" s="88">
        <f t="shared" si="55"/>
        <v>0</v>
      </c>
      <c r="G270" s="92">
        <f t="shared" si="56"/>
        <v>0</v>
      </c>
      <c r="J270" s="73">
        <v>5775.68</v>
      </c>
      <c r="K270" s="79">
        <f t="shared" si="57"/>
        <v>0</v>
      </c>
      <c r="M270" s="131">
        <v>5775.68</v>
      </c>
      <c r="N270" s="73">
        <v>5775.68</v>
      </c>
      <c r="O270" s="73">
        <f t="shared" si="58"/>
        <v>0</v>
      </c>
      <c r="P270" s="73">
        <f t="shared" si="59"/>
        <v>0</v>
      </c>
    </row>
    <row r="271" spans="1:16">
      <c r="B271" s="76" t="s">
        <v>349</v>
      </c>
      <c r="C271" s="77"/>
      <c r="D271" s="77"/>
      <c r="F271" s="88"/>
      <c r="G271" s="92"/>
      <c r="J271" s="73"/>
      <c r="O271" s="73">
        <f t="shared" si="58"/>
        <v>0</v>
      </c>
      <c r="P271" s="73">
        <f t="shared" si="59"/>
        <v>0</v>
      </c>
    </row>
    <row r="272" spans="1:16" ht="28.2" thickBot="1">
      <c r="B272" s="82" t="s">
        <v>350</v>
      </c>
      <c r="C272" s="83">
        <v>277777777.75999999</v>
      </c>
      <c r="D272" s="83">
        <v>40980941.229999997</v>
      </c>
      <c r="F272" s="88">
        <f t="shared" si="55"/>
        <v>236796836.53</v>
      </c>
      <c r="G272" s="92">
        <f t="shared" si="56"/>
        <v>5.7782185919305693</v>
      </c>
      <c r="H272" s="103" t="s">
        <v>237</v>
      </c>
      <c r="J272" s="73">
        <v>40980941.229999997</v>
      </c>
      <c r="K272" s="79">
        <f t="shared" ref="K272" si="60">+D272-J272</f>
        <v>0</v>
      </c>
      <c r="M272" s="131">
        <v>277777777.75999999</v>
      </c>
      <c r="N272" s="131">
        <v>40980941.229999997</v>
      </c>
      <c r="O272" s="73">
        <f t="shared" si="58"/>
        <v>0</v>
      </c>
      <c r="P272" s="73">
        <f t="shared" si="59"/>
        <v>0</v>
      </c>
    </row>
    <row r="273" spans="1:16" ht="15" thickBot="1">
      <c r="B273" s="84" t="s">
        <v>35</v>
      </c>
      <c r="C273" s="85">
        <v>5738145583.9499998</v>
      </c>
      <c r="D273" s="85">
        <v>7913749986.8500004</v>
      </c>
      <c r="M273" s="131">
        <f>SUM(M267:M272)</f>
        <v>5738145583.9500008</v>
      </c>
      <c r="N273" s="131">
        <f>SUM(N267:N272)</f>
        <v>7913749986.8500004</v>
      </c>
      <c r="O273" s="73">
        <f t="shared" si="58"/>
        <v>0</v>
      </c>
      <c r="P273" s="73">
        <f t="shared" si="59"/>
        <v>0</v>
      </c>
    </row>
    <row r="274" spans="1:16">
      <c r="B274" s="96" t="s">
        <v>156</v>
      </c>
      <c r="C274" s="73">
        <f>SUM(C267:C272)</f>
        <v>5738145583.9500008</v>
      </c>
      <c r="D274" s="73">
        <f>SUM(D267:D272)</f>
        <v>7913749986.8500004</v>
      </c>
    </row>
    <row r="275" spans="1:16">
      <c r="B275" s="96" t="s">
        <v>156</v>
      </c>
      <c r="C275" s="73">
        <f>+C273-C274</f>
        <v>0</v>
      </c>
      <c r="D275" s="73">
        <f>+D273-D274</f>
        <v>0</v>
      </c>
    </row>
    <row r="276" spans="1:16">
      <c r="B276" s="108" t="s">
        <v>168</v>
      </c>
      <c r="C276" s="73">
        <f>+M273</f>
        <v>5738145583.9500008</v>
      </c>
      <c r="D276" s="73">
        <f>+N273</f>
        <v>7913749986.8500004</v>
      </c>
    </row>
    <row r="277" spans="1:16">
      <c r="B277" s="108" t="s">
        <v>168</v>
      </c>
      <c r="C277" s="73">
        <f>+C273-C276</f>
        <v>0</v>
      </c>
      <c r="D277" s="73">
        <f>+D273-D276</f>
        <v>0</v>
      </c>
    </row>
    <row r="278" spans="1:16" ht="15" thickBot="1">
      <c r="A278" s="44" t="s">
        <v>351</v>
      </c>
    </row>
    <row r="279" spans="1:16" ht="15" thickBot="1">
      <c r="B279" s="75" t="s">
        <v>276</v>
      </c>
      <c r="C279" s="75">
        <v>2022</v>
      </c>
      <c r="D279" s="75">
        <v>2021</v>
      </c>
    </row>
    <row r="280" spans="1:16" ht="28.2" thickBot="1">
      <c r="B280" s="98" t="s">
        <v>352</v>
      </c>
      <c r="C280" s="83">
        <v>10164061991.99</v>
      </c>
      <c r="D280" s="83">
        <v>3758646841.5999999</v>
      </c>
      <c r="F280" s="88">
        <f t="shared" ref="F280" si="61">+C280-D280</f>
        <v>6405415150.3899994</v>
      </c>
      <c r="G280" s="92">
        <f t="shared" ref="G280" si="62">+F280/D280</f>
        <v>1.7041811642147549</v>
      </c>
      <c r="H280" s="103" t="s">
        <v>237</v>
      </c>
      <c r="J280" s="73">
        <v>3758646841.5999999</v>
      </c>
      <c r="K280" s="169">
        <f t="shared" ref="K280" si="63">+D280-J280</f>
        <v>0</v>
      </c>
      <c r="M280" s="131">
        <v>10164061991.99</v>
      </c>
      <c r="N280" s="131">
        <v>3758646841.5999999</v>
      </c>
      <c r="O280" s="73">
        <f t="shared" ref="O280" si="64">+C280-M280</f>
        <v>0</v>
      </c>
      <c r="P280" s="73">
        <f t="shared" ref="P280" si="65">+D280-N280</f>
        <v>0</v>
      </c>
    </row>
    <row r="281" spans="1:16" ht="15" thickBot="1">
      <c r="B281" s="84" t="s">
        <v>35</v>
      </c>
      <c r="C281" s="85">
        <v>10164061991.99</v>
      </c>
      <c r="D281" s="85">
        <v>3758646841.5999999</v>
      </c>
    </row>
    <row r="282" spans="1:16">
      <c r="B282" s="96" t="s">
        <v>156</v>
      </c>
      <c r="C282" s="73">
        <f>SUM(C280)</f>
        <v>10164061991.99</v>
      </c>
      <c r="D282" s="73">
        <f>SUM(D280)</f>
        <v>3758646841.5999999</v>
      </c>
    </row>
    <row r="283" spans="1:16">
      <c r="B283" s="96" t="s">
        <v>156</v>
      </c>
      <c r="C283" s="73">
        <f>+C281-C282</f>
        <v>0</v>
      </c>
      <c r="D283" s="73">
        <f>+D281-D282</f>
        <v>0</v>
      </c>
    </row>
    <row r="284" spans="1:16">
      <c r="B284" s="108" t="s">
        <v>168</v>
      </c>
      <c r="C284" s="73">
        <f>+M280</f>
        <v>10164061991.99</v>
      </c>
      <c r="D284" s="73">
        <f>+N280</f>
        <v>3758646841.5999999</v>
      </c>
    </row>
    <row r="285" spans="1:16" ht="15" thickBot="1">
      <c r="B285" s="108" t="s">
        <v>168</v>
      </c>
      <c r="C285" s="73">
        <f>+C281-C284</f>
        <v>0</v>
      </c>
      <c r="D285" s="154">
        <f>+D281-D284</f>
        <v>0</v>
      </c>
    </row>
    <row r="286" spans="1:16" ht="15" thickBot="1">
      <c r="A286" s="149" t="s">
        <v>208</v>
      </c>
      <c r="B286" s="149" t="s">
        <v>353</v>
      </c>
      <c r="C286" s="149" t="s">
        <v>354</v>
      </c>
      <c r="D286" s="149" t="s">
        <v>355</v>
      </c>
    </row>
    <row r="287" spans="1:16">
      <c r="A287" s="126">
        <v>2017</v>
      </c>
      <c r="B287" s="143">
        <v>2942656.39</v>
      </c>
      <c r="C287" s="147" t="s">
        <v>165</v>
      </c>
      <c r="D287" s="143">
        <v>2942656.39</v>
      </c>
    </row>
    <row r="288" spans="1:16">
      <c r="A288" s="126">
        <v>2018</v>
      </c>
      <c r="B288" s="143">
        <v>13697110.68</v>
      </c>
      <c r="C288" s="143">
        <v>19133581.920000002</v>
      </c>
      <c r="D288" s="143">
        <v>32830692.600000001</v>
      </c>
    </row>
    <row r="289" spans="1:4">
      <c r="A289" s="126">
        <v>2019</v>
      </c>
      <c r="B289" s="143">
        <v>1039933954.1900001</v>
      </c>
      <c r="C289" s="143">
        <v>25197828.620000001</v>
      </c>
      <c r="D289" s="143">
        <v>1065131782.8099999</v>
      </c>
    </row>
    <row r="290" spans="1:4" ht="15" thickBot="1">
      <c r="A290" s="127">
        <v>2020</v>
      </c>
      <c r="B290" s="146">
        <v>565660693.71000004</v>
      </c>
      <c r="C290" s="146">
        <v>161367151.62</v>
      </c>
      <c r="D290" s="146">
        <v>727027845.33000004</v>
      </c>
    </row>
    <row r="291" spans="1:4" ht="15" thickBot="1">
      <c r="A291" s="148" t="s">
        <v>35</v>
      </c>
      <c r="B291" s="145">
        <v>1622234414.97</v>
      </c>
      <c r="C291" s="145">
        <v>205698562.16</v>
      </c>
      <c r="D291" s="145">
        <v>1827932977.1300001</v>
      </c>
    </row>
    <row r="292" spans="1:4">
      <c r="A292" s="144" t="s">
        <v>156</v>
      </c>
      <c r="B292" s="73">
        <f>SUM(B287:B290)</f>
        <v>1622234414.9700003</v>
      </c>
      <c r="C292" s="73">
        <f t="shared" ref="C292:D292" si="66">SUM(C287:C290)</f>
        <v>205698562.16000003</v>
      </c>
      <c r="D292" s="73">
        <f t="shared" si="66"/>
        <v>1827932977.1300001</v>
      </c>
    </row>
    <row r="293" spans="1:4">
      <c r="A293" s="144" t="s">
        <v>156</v>
      </c>
      <c r="B293" s="73">
        <f>+B291-B292</f>
        <v>0</v>
      </c>
      <c r="C293" s="73">
        <f t="shared" ref="C293:D293" si="67">+C291-C292</f>
        <v>0</v>
      </c>
      <c r="D293" s="73">
        <f t="shared" si="67"/>
        <v>0</v>
      </c>
    </row>
    <row r="294" spans="1:4">
      <c r="A294" s="100">
        <v>1</v>
      </c>
      <c r="B294" s="100" t="s">
        <v>356</v>
      </c>
      <c r="C294" s="150">
        <v>1800000000</v>
      </c>
    </row>
    <row r="295" spans="1:4">
      <c r="A295" s="100">
        <v>2</v>
      </c>
      <c r="B295" s="100" t="s">
        <v>357</v>
      </c>
      <c r="C295" s="151">
        <v>402000000</v>
      </c>
    </row>
    <row r="296" spans="1:4">
      <c r="A296" s="100">
        <v>3</v>
      </c>
      <c r="B296" s="100" t="s">
        <v>358</v>
      </c>
      <c r="C296" s="151">
        <v>500000000</v>
      </c>
    </row>
    <row r="297" spans="1:4">
      <c r="A297" s="100">
        <v>4</v>
      </c>
      <c r="B297" s="100" t="s">
        <v>359</v>
      </c>
      <c r="C297" s="151">
        <v>500000000</v>
      </c>
    </row>
    <row r="298" spans="1:4" ht="27.6">
      <c r="A298" s="100">
        <v>5</v>
      </c>
      <c r="B298" s="100" t="s">
        <v>360</v>
      </c>
      <c r="C298" s="150">
        <v>2400000000</v>
      </c>
    </row>
    <row r="299" spans="1:4">
      <c r="B299" s="96" t="s">
        <v>156</v>
      </c>
      <c r="C299" s="117">
        <f>SUM(C294:C298)</f>
        <v>5602000000</v>
      </c>
    </row>
    <row r="300" spans="1:4">
      <c r="A300" s="100">
        <v>1</v>
      </c>
      <c r="B300" s="100" t="s">
        <v>361</v>
      </c>
      <c r="C300" s="152">
        <v>2300000000</v>
      </c>
    </row>
    <row r="301" spans="1:4">
      <c r="A301" s="100">
        <v>2</v>
      </c>
      <c r="B301" s="100" t="s">
        <v>362</v>
      </c>
      <c r="C301" s="152">
        <v>1900000000</v>
      </c>
    </row>
    <row r="302" spans="1:4">
      <c r="A302" s="100">
        <v>3</v>
      </c>
      <c r="B302" s="100" t="s">
        <v>363</v>
      </c>
      <c r="C302" s="152">
        <v>1221450000</v>
      </c>
    </row>
    <row r="303" spans="1:4">
      <c r="A303" s="100">
        <v>4</v>
      </c>
      <c r="B303" s="100" t="s">
        <v>364</v>
      </c>
      <c r="C303" s="152">
        <v>1585000000</v>
      </c>
    </row>
    <row r="304" spans="1:4">
      <c r="A304" s="100">
        <v>5</v>
      </c>
      <c r="B304" s="100" t="s">
        <v>365</v>
      </c>
      <c r="C304" s="152">
        <v>2150000000</v>
      </c>
    </row>
    <row r="305" spans="1:16">
      <c r="A305" s="100">
        <v>6</v>
      </c>
      <c r="B305" s="100" t="s">
        <v>366</v>
      </c>
      <c r="C305" s="152">
        <v>1200000000</v>
      </c>
    </row>
    <row r="306" spans="1:16">
      <c r="B306" s="96" t="s">
        <v>156</v>
      </c>
      <c r="C306" s="138">
        <f>SUM(C300:C305)</f>
        <v>10356450000</v>
      </c>
    </row>
    <row r="307" spans="1:16" ht="27.6">
      <c r="A307" s="100">
        <v>1</v>
      </c>
      <c r="B307" s="100" t="s">
        <v>367</v>
      </c>
      <c r="C307" s="88">
        <v>1600000000</v>
      </c>
    </row>
    <row r="308" spans="1:16" ht="41.4">
      <c r="A308" s="100">
        <v>2</v>
      </c>
      <c r="B308" s="100" t="s">
        <v>368</v>
      </c>
      <c r="C308" s="88">
        <v>1200000000</v>
      </c>
    </row>
    <row r="309" spans="1:16">
      <c r="B309" s="96" t="s">
        <v>156</v>
      </c>
      <c r="C309" s="138">
        <f>SUM(C307:C308)</f>
        <v>2800000000</v>
      </c>
    </row>
    <row r="310" spans="1:16">
      <c r="C310" s="136">
        <f>+C299+C306+C309</f>
        <v>18758450000</v>
      </c>
    </row>
    <row r="312" spans="1:16" ht="15" thickBot="1">
      <c r="A312" s="141" t="s">
        <v>369</v>
      </c>
    </row>
    <row r="313" spans="1:16" ht="15" thickBot="1">
      <c r="B313" s="75" t="s">
        <v>144</v>
      </c>
      <c r="C313" s="75">
        <v>2022</v>
      </c>
      <c r="D313" s="75">
        <v>2021</v>
      </c>
    </row>
    <row r="314" spans="1:16">
      <c r="B314" s="100" t="s">
        <v>370</v>
      </c>
      <c r="C314" s="79">
        <v>427193827.17000002</v>
      </c>
      <c r="D314" s="79">
        <v>566598151.98000002</v>
      </c>
      <c r="F314" s="88">
        <f t="shared" ref="F314:F320" si="68">+C314-D314</f>
        <v>-139404324.81</v>
      </c>
      <c r="G314" s="92">
        <f t="shared" ref="G314:G320" si="69">+F314/D314</f>
        <v>-0.24603737997175951</v>
      </c>
      <c r="H314" s="140" t="s">
        <v>237</v>
      </c>
      <c r="J314" s="87">
        <v>551440685.42999995</v>
      </c>
      <c r="K314" s="79">
        <f t="shared" ref="K314:K320" si="70">+D314-J314</f>
        <v>15157466.550000072</v>
      </c>
      <c r="M314" s="131">
        <v>427193827.17000002</v>
      </c>
      <c r="N314" s="73">
        <v>566598151.98000002</v>
      </c>
      <c r="O314" s="73">
        <f t="shared" ref="O314:O320" si="71">+C314-M314</f>
        <v>0</v>
      </c>
      <c r="P314" s="73">
        <f t="shared" ref="P314:P320" si="72">+D314-N314</f>
        <v>0</v>
      </c>
    </row>
    <row r="315" spans="1:16">
      <c r="B315" s="100" t="s">
        <v>371</v>
      </c>
      <c r="C315" s="79">
        <v>67921778.670000002</v>
      </c>
      <c r="D315" s="79">
        <v>107681185.29000001</v>
      </c>
      <c r="F315" s="88">
        <f t="shared" si="68"/>
        <v>-39759406.620000005</v>
      </c>
      <c r="G315" s="92">
        <f t="shared" si="69"/>
        <v>-0.36923262418520508</v>
      </c>
      <c r="H315" s="140" t="s">
        <v>237</v>
      </c>
      <c r="J315" s="87">
        <v>62019413.780000001</v>
      </c>
      <c r="K315" s="79">
        <f t="shared" si="70"/>
        <v>45661771.510000005</v>
      </c>
      <c r="M315" s="131">
        <v>67921778.670000002</v>
      </c>
      <c r="N315" s="73">
        <v>107681185.29000001</v>
      </c>
      <c r="O315" s="73">
        <f t="shared" si="71"/>
        <v>0</v>
      </c>
      <c r="P315" s="73">
        <f t="shared" si="72"/>
        <v>0</v>
      </c>
    </row>
    <row r="316" spans="1:16">
      <c r="B316" s="100" t="s">
        <v>372</v>
      </c>
      <c r="C316" s="79">
        <v>17054734.75</v>
      </c>
      <c r="D316" s="79">
        <v>25417463.84</v>
      </c>
      <c r="F316" s="88">
        <f t="shared" si="68"/>
        <v>-8362729.0899999999</v>
      </c>
      <c r="G316" s="92">
        <f t="shared" si="69"/>
        <v>-0.32901508752574271</v>
      </c>
      <c r="H316" s="140" t="s">
        <v>237</v>
      </c>
      <c r="J316" s="87">
        <v>25417463.84</v>
      </c>
      <c r="K316" s="79">
        <f t="shared" si="70"/>
        <v>0</v>
      </c>
      <c r="M316" s="131">
        <v>17054734.75</v>
      </c>
      <c r="N316" s="73">
        <v>25417463.84</v>
      </c>
      <c r="O316" s="73">
        <f t="shared" si="71"/>
        <v>0</v>
      </c>
      <c r="P316" s="73">
        <f t="shared" si="72"/>
        <v>0</v>
      </c>
    </row>
    <row r="317" spans="1:16">
      <c r="B317" s="100" t="s">
        <v>373</v>
      </c>
      <c r="C317" s="79">
        <v>36922498.509999998</v>
      </c>
      <c r="D317" s="79">
        <v>31706334.690000001</v>
      </c>
      <c r="F317" s="88">
        <f t="shared" si="68"/>
        <v>5216163.8199999966</v>
      </c>
      <c r="G317" s="92">
        <f t="shared" si="69"/>
        <v>0.1645148791558409</v>
      </c>
      <c r="H317" s="103" t="s">
        <v>237</v>
      </c>
      <c r="J317" s="87">
        <v>31706334.690000001</v>
      </c>
      <c r="K317" s="79">
        <f t="shared" si="70"/>
        <v>0</v>
      </c>
      <c r="M317" s="131">
        <v>36922498.509999998</v>
      </c>
      <c r="N317" s="73">
        <v>31706334.690000001</v>
      </c>
      <c r="O317" s="73">
        <f t="shared" si="71"/>
        <v>0</v>
      </c>
      <c r="P317" s="73">
        <f t="shared" si="72"/>
        <v>0</v>
      </c>
    </row>
    <row r="318" spans="1:16">
      <c r="B318" s="100" t="s">
        <v>374</v>
      </c>
      <c r="C318" s="79">
        <v>483427857.44</v>
      </c>
      <c r="D318" s="79">
        <v>156583161.12</v>
      </c>
      <c r="F318" s="88">
        <f t="shared" si="68"/>
        <v>326844696.31999999</v>
      </c>
      <c r="G318" s="92">
        <f t="shared" si="69"/>
        <v>2.0873553323496727</v>
      </c>
      <c r="H318" s="103" t="s">
        <v>237</v>
      </c>
      <c r="J318" s="87">
        <v>156583161.12</v>
      </c>
      <c r="K318" s="79">
        <f t="shared" si="70"/>
        <v>0</v>
      </c>
      <c r="M318" s="131">
        <v>483427857.44</v>
      </c>
      <c r="N318" s="73">
        <v>156583161.12</v>
      </c>
      <c r="O318" s="73">
        <f t="shared" si="71"/>
        <v>0</v>
      </c>
      <c r="P318" s="73">
        <f t="shared" si="72"/>
        <v>0</v>
      </c>
    </row>
    <row r="319" spans="1:16">
      <c r="B319" s="100" t="s">
        <v>375</v>
      </c>
      <c r="C319" s="79">
        <v>452151910.60000002</v>
      </c>
      <c r="D319" s="79">
        <v>288044279.31</v>
      </c>
      <c r="F319" s="88">
        <f t="shared" si="68"/>
        <v>164107631.29000002</v>
      </c>
      <c r="G319" s="92">
        <f t="shared" si="69"/>
        <v>0.56973056949130918</v>
      </c>
      <c r="H319" s="103" t="s">
        <v>167</v>
      </c>
      <c r="J319" s="87">
        <v>288044279.31</v>
      </c>
      <c r="K319" s="79">
        <f t="shared" si="70"/>
        <v>0</v>
      </c>
      <c r="M319" s="131">
        <v>452151910.60000002</v>
      </c>
      <c r="N319" s="73">
        <v>288044279.31</v>
      </c>
      <c r="O319" s="73">
        <f t="shared" si="71"/>
        <v>0</v>
      </c>
      <c r="P319" s="73">
        <f t="shared" si="72"/>
        <v>0</v>
      </c>
    </row>
    <row r="320" spans="1:16" ht="15" thickBot="1">
      <c r="B320" s="111" t="s">
        <v>376</v>
      </c>
      <c r="C320" s="83">
        <v>699540918.25999999</v>
      </c>
      <c r="D320" s="83">
        <v>629914363.87</v>
      </c>
      <c r="F320" s="88">
        <f t="shared" si="68"/>
        <v>69626554.389999986</v>
      </c>
      <c r="G320" s="92">
        <f t="shared" si="69"/>
        <v>0.11053336514226451</v>
      </c>
      <c r="H320" s="103" t="s">
        <v>237</v>
      </c>
      <c r="J320" s="87">
        <v>629914363.87</v>
      </c>
      <c r="K320" s="79">
        <f t="shared" si="70"/>
        <v>0</v>
      </c>
      <c r="M320" s="131">
        <v>699540918.25999999</v>
      </c>
      <c r="N320" s="73">
        <v>629914363.87</v>
      </c>
      <c r="O320" s="73">
        <f t="shared" si="71"/>
        <v>0</v>
      </c>
      <c r="P320" s="73">
        <f t="shared" si="72"/>
        <v>0</v>
      </c>
    </row>
    <row r="321" spans="1:16" ht="15" thickBot="1">
      <c r="B321" s="84" t="s">
        <v>35</v>
      </c>
      <c r="C321" s="85">
        <v>2184213525.4000001</v>
      </c>
      <c r="D321" s="153">
        <v>1805944940.0999999</v>
      </c>
      <c r="M321" s="131">
        <f>SUM(M314:M320)</f>
        <v>2184213525.3999996</v>
      </c>
      <c r="N321" s="131">
        <f>SUM(N314:N320)</f>
        <v>1805944940.0999999</v>
      </c>
    </row>
    <row r="322" spans="1:16">
      <c r="B322" s="96" t="s">
        <v>156</v>
      </c>
      <c r="C322" s="73">
        <f>SUM(C314:C320)</f>
        <v>2184213525.3999996</v>
      </c>
      <c r="D322" s="73">
        <f>SUM(D314:D320)</f>
        <v>1805944940.0999999</v>
      </c>
    </row>
    <row r="323" spans="1:16">
      <c r="B323" s="96" t="s">
        <v>156</v>
      </c>
      <c r="C323" s="73">
        <f>+C321-C322</f>
        <v>0</v>
      </c>
      <c r="D323" s="73">
        <f>+D321-D322</f>
        <v>0</v>
      </c>
    </row>
    <row r="324" spans="1:16">
      <c r="B324" s="108" t="s">
        <v>168</v>
      </c>
      <c r="C324" s="73">
        <f>+M321</f>
        <v>2184213525.3999996</v>
      </c>
      <c r="D324" s="73">
        <f>+N321</f>
        <v>1805944940.0999999</v>
      </c>
    </row>
    <row r="325" spans="1:16">
      <c r="B325" s="108" t="s">
        <v>168</v>
      </c>
      <c r="C325" s="73">
        <f>+C321-C324</f>
        <v>0</v>
      </c>
      <c r="D325" s="73">
        <f>+D321-D324</f>
        <v>0</v>
      </c>
    </row>
    <row r="326" spans="1:16">
      <c r="B326" s="108"/>
      <c r="C326" s="73"/>
      <c r="D326" s="73"/>
    </row>
    <row r="327" spans="1:16" ht="15" thickBot="1">
      <c r="A327" s="141" t="s">
        <v>377</v>
      </c>
    </row>
    <row r="328" spans="1:16" ht="15" thickBot="1">
      <c r="B328" s="75" t="s">
        <v>144</v>
      </c>
      <c r="C328" s="75">
        <v>2022</v>
      </c>
      <c r="D328" s="75">
        <v>2021</v>
      </c>
    </row>
    <row r="329" spans="1:16">
      <c r="B329" s="100" t="s">
        <v>21</v>
      </c>
      <c r="C329" s="79">
        <v>481104657.11000001</v>
      </c>
      <c r="D329" s="79">
        <v>722960859.27999997</v>
      </c>
      <c r="F329" s="88">
        <f t="shared" ref="F329:F333" si="73">+C329-D329</f>
        <v>-241856202.16999996</v>
      </c>
      <c r="G329" s="92">
        <f t="shared" ref="G329:G333" si="74">+F329/D329</f>
        <v>-0.33453567930477685</v>
      </c>
      <c r="H329" s="103" t="s">
        <v>237</v>
      </c>
      <c r="J329" s="73">
        <v>431496420.91000003</v>
      </c>
      <c r="K329" s="79">
        <f t="shared" ref="K329:K330" si="75">+D329-J329</f>
        <v>291464438.36999995</v>
      </c>
      <c r="M329" s="131">
        <v>481104657.11000001</v>
      </c>
      <c r="N329" s="73">
        <v>722960859.27999997</v>
      </c>
      <c r="O329" s="73">
        <f t="shared" ref="O329:O332" si="76">+C329-M329</f>
        <v>0</v>
      </c>
      <c r="P329" s="73">
        <f t="shared" ref="P329:P332" si="77">+D329-N329</f>
        <v>0</v>
      </c>
    </row>
    <row r="330" spans="1:16">
      <c r="B330" s="100" t="s">
        <v>378</v>
      </c>
      <c r="C330" s="101">
        <v>829068072</v>
      </c>
      <c r="D330" s="101">
        <v>235255285.61000001</v>
      </c>
      <c r="F330" s="88">
        <f t="shared" si="73"/>
        <v>593812786.38999999</v>
      </c>
      <c r="G330" s="92">
        <f t="shared" si="74"/>
        <v>2.5241209133741083</v>
      </c>
      <c r="H330" s="103" t="s">
        <v>167</v>
      </c>
      <c r="J330" s="73">
        <v>235255285.61000001</v>
      </c>
      <c r="K330" s="79">
        <f t="shared" si="75"/>
        <v>0</v>
      </c>
      <c r="M330" s="131">
        <v>829068072</v>
      </c>
      <c r="N330" s="73">
        <v>235255285.61000001</v>
      </c>
      <c r="O330" s="73">
        <f t="shared" si="76"/>
        <v>0</v>
      </c>
      <c r="P330" s="73">
        <f t="shared" si="77"/>
        <v>0</v>
      </c>
    </row>
    <row r="331" spans="1:16" ht="27.6">
      <c r="B331" s="78" t="s">
        <v>379</v>
      </c>
      <c r="C331" s="101"/>
      <c r="D331" s="101"/>
      <c r="F331" s="88"/>
      <c r="G331" s="92"/>
      <c r="M331" s="131"/>
      <c r="N331" s="73"/>
      <c r="O331" s="73"/>
      <c r="P331" s="73"/>
    </row>
    <row r="332" spans="1:16">
      <c r="B332" s="100" t="s">
        <v>380</v>
      </c>
      <c r="C332" s="79">
        <v>163029453.61000001</v>
      </c>
      <c r="D332" s="79">
        <v>81153960.620000005</v>
      </c>
      <c r="F332" s="88">
        <f t="shared" si="73"/>
        <v>81875492.99000001</v>
      </c>
      <c r="G332" s="92">
        <f t="shared" si="74"/>
        <v>1.0088909076585744</v>
      </c>
      <c r="H332" s="103" t="s">
        <v>237</v>
      </c>
      <c r="J332" s="73">
        <v>81153960.620000005</v>
      </c>
      <c r="K332" s="79">
        <f t="shared" ref="K332:K333" si="78">+D332-J332</f>
        <v>0</v>
      </c>
      <c r="M332" s="131">
        <v>163029453.61000001</v>
      </c>
      <c r="N332" s="73">
        <v>81153960.620000005</v>
      </c>
      <c r="O332" s="73">
        <f t="shared" si="76"/>
        <v>0</v>
      </c>
      <c r="P332" s="73">
        <f t="shared" si="77"/>
        <v>0</v>
      </c>
    </row>
    <row r="333" spans="1:16" ht="28.2" thickBot="1">
      <c r="B333" s="98" t="s">
        <v>381</v>
      </c>
      <c r="C333" s="83">
        <v>122367939.45</v>
      </c>
      <c r="D333" s="83">
        <v>129697412.88</v>
      </c>
      <c r="F333" s="88">
        <f t="shared" si="73"/>
        <v>-7329473.4299999923</v>
      </c>
      <c r="G333" s="92">
        <f t="shared" si="74"/>
        <v>-5.6512102032300712E-2</v>
      </c>
      <c r="J333" s="73">
        <v>126684624.26000001</v>
      </c>
      <c r="K333" s="79">
        <f t="shared" si="78"/>
        <v>3012788.6199999899</v>
      </c>
      <c r="M333" s="131">
        <v>122367939.45</v>
      </c>
      <c r="N333" s="73">
        <v>129697412.88</v>
      </c>
      <c r="O333" s="73">
        <f t="shared" ref="O333" si="79">+C333-M333</f>
        <v>0</v>
      </c>
      <c r="P333" s="73">
        <f t="shared" ref="P333" si="80">+D333-N333</f>
        <v>0</v>
      </c>
    </row>
    <row r="334" spans="1:16" ht="15" thickBot="1">
      <c r="B334" s="84" t="s">
        <v>35</v>
      </c>
      <c r="C334" s="85">
        <v>1595570122.1700001</v>
      </c>
      <c r="D334" s="85">
        <v>1169067518.3900001</v>
      </c>
      <c r="M334" s="131">
        <f>SUM(M329:M333)</f>
        <v>1595570122.1700003</v>
      </c>
      <c r="N334" s="131">
        <f>SUM(N329:N333)</f>
        <v>1169067518.3899999</v>
      </c>
    </row>
    <row r="335" spans="1:16">
      <c r="B335" s="96" t="s">
        <v>156</v>
      </c>
      <c r="C335" s="73">
        <f>SUM(C329:C333)</f>
        <v>1595570122.1700003</v>
      </c>
      <c r="D335" s="73">
        <f>SUM(D329:D333)</f>
        <v>1169067518.3899999</v>
      </c>
    </row>
    <row r="336" spans="1:16">
      <c r="B336" s="96" t="s">
        <v>156</v>
      </c>
      <c r="C336" s="73">
        <f>+C334-C335</f>
        <v>0</v>
      </c>
      <c r="D336" s="73">
        <f>+D334-D335</f>
        <v>0</v>
      </c>
    </row>
    <row r="337" spans="1:11">
      <c r="B337" s="108" t="s">
        <v>168</v>
      </c>
      <c r="C337" s="73">
        <f>+M334</f>
        <v>1595570122.1700003</v>
      </c>
      <c r="D337" s="73">
        <f>+N334</f>
        <v>1169067518.3899999</v>
      </c>
    </row>
    <row r="338" spans="1:11" ht="15" thickBot="1">
      <c r="B338" s="108" t="s">
        <v>168</v>
      </c>
      <c r="C338" s="73">
        <f>+C334-C337</f>
        <v>0</v>
      </c>
      <c r="D338" s="73">
        <f>+D334-D337</f>
        <v>0</v>
      </c>
    </row>
    <row r="339" spans="1:11" ht="16.2" customHeight="1" thickBot="1">
      <c r="A339" s="431" t="s">
        <v>64</v>
      </c>
      <c r="B339" s="433" t="s">
        <v>174</v>
      </c>
      <c r="C339" s="433"/>
      <c r="D339" s="433"/>
    </row>
    <row r="340" spans="1:11" ht="16.2" customHeight="1" thickBot="1">
      <c r="A340" s="432"/>
      <c r="B340" s="160" t="s">
        <v>383</v>
      </c>
      <c r="C340" s="159" t="s">
        <v>384</v>
      </c>
      <c r="D340" s="159" t="s">
        <v>385</v>
      </c>
    </row>
    <row r="341" spans="1:11" ht="16.2" customHeight="1">
      <c r="A341" s="434" t="s">
        <v>386</v>
      </c>
      <c r="B341" s="434"/>
      <c r="C341" s="434"/>
      <c r="D341" s="434"/>
    </row>
    <row r="342" spans="1:11" ht="16.2" customHeight="1">
      <c r="A342" s="161" t="s">
        <v>387</v>
      </c>
      <c r="B342" s="162">
        <v>240744149.15000001</v>
      </c>
      <c r="C342" s="162">
        <v>4600000</v>
      </c>
      <c r="D342" s="162">
        <v>236144149.15000001</v>
      </c>
      <c r="E342" s="136">
        <f>+D342-F342</f>
        <v>0</v>
      </c>
      <c r="F342" s="87">
        <f>+B342-C342</f>
        <v>236144149.15000001</v>
      </c>
      <c r="J342" s="73">
        <f>+D342+D344</f>
        <v>606022805.14999998</v>
      </c>
    </row>
    <row r="343" spans="1:11" ht="16.2" customHeight="1">
      <c r="A343" s="161" t="s">
        <v>388</v>
      </c>
      <c r="B343" s="163"/>
      <c r="C343" s="163"/>
      <c r="D343" s="163"/>
      <c r="F343" s="87">
        <f t="shared" ref="F343:F354" si="81">+B343-C343</f>
        <v>0</v>
      </c>
      <c r="J343" s="73">
        <f>+D351+D352</f>
        <v>223045266.84999999</v>
      </c>
    </row>
    <row r="344" spans="1:11" ht="16.2" customHeight="1">
      <c r="A344" s="161" t="s">
        <v>389</v>
      </c>
      <c r="B344" s="162">
        <v>431736348</v>
      </c>
      <c r="C344" s="162">
        <v>61857692</v>
      </c>
      <c r="D344" s="162">
        <v>369878656</v>
      </c>
      <c r="E344" s="136">
        <f t="shared" ref="E344:E355" si="82">+D344-F344</f>
        <v>0</v>
      </c>
      <c r="F344" s="87">
        <f t="shared" si="81"/>
        <v>369878656</v>
      </c>
      <c r="J344" s="73">
        <f>+J342+J343</f>
        <v>829068072</v>
      </c>
      <c r="K344" t="s">
        <v>561</v>
      </c>
    </row>
    <row r="345" spans="1:11" ht="16.2" customHeight="1" thickBot="1">
      <c r="A345" s="165" t="s">
        <v>390</v>
      </c>
      <c r="B345" s="166">
        <v>130000000</v>
      </c>
      <c r="C345" s="166">
        <v>12980000</v>
      </c>
      <c r="D345" s="166">
        <v>117020000</v>
      </c>
      <c r="E345" s="136">
        <f t="shared" si="82"/>
        <v>0</v>
      </c>
      <c r="F345" s="87">
        <f t="shared" si="81"/>
        <v>117020000</v>
      </c>
      <c r="J345" t="s">
        <v>562</v>
      </c>
    </row>
    <row r="346" spans="1:11" ht="16.2" customHeight="1" thickBot="1">
      <c r="A346" s="167" t="s">
        <v>35</v>
      </c>
      <c r="B346" s="168">
        <v>802480497.14999998</v>
      </c>
      <c r="C346" s="168">
        <v>79437692</v>
      </c>
      <c r="D346" s="168">
        <v>723042805.14999998</v>
      </c>
      <c r="E346" s="136">
        <f t="shared" si="82"/>
        <v>0</v>
      </c>
      <c r="F346" s="87">
        <f t="shared" si="81"/>
        <v>723042805.14999998</v>
      </c>
    </row>
    <row r="347" spans="1:11" ht="16.2" customHeight="1">
      <c r="A347" s="144" t="s">
        <v>156</v>
      </c>
      <c r="B347" s="164">
        <f>SUM(B342:B345)</f>
        <v>802480497.14999998</v>
      </c>
      <c r="C347" s="164">
        <f t="shared" ref="C347:D347" si="83">SUM(C342:C345)</f>
        <v>79437692</v>
      </c>
      <c r="D347" s="164">
        <f t="shared" si="83"/>
        <v>723042805.14999998</v>
      </c>
      <c r="E347" s="136">
        <f t="shared" si="82"/>
        <v>0</v>
      </c>
      <c r="F347" s="87">
        <f t="shared" si="81"/>
        <v>723042805.14999998</v>
      </c>
    </row>
    <row r="348" spans="1:11" ht="16.2" customHeight="1">
      <c r="A348" s="144"/>
      <c r="B348" s="164">
        <f>+B346-B347</f>
        <v>0</v>
      </c>
      <c r="C348" s="164">
        <f t="shared" ref="C348:D348" si="84">+C346-C347</f>
        <v>0</v>
      </c>
      <c r="D348" s="164">
        <f t="shared" si="84"/>
        <v>0</v>
      </c>
      <c r="E348" s="136">
        <f t="shared" si="82"/>
        <v>0</v>
      </c>
      <c r="F348" s="87">
        <f t="shared" si="81"/>
        <v>0</v>
      </c>
    </row>
    <row r="349" spans="1:11" ht="16.2" customHeight="1">
      <c r="A349" s="161" t="s">
        <v>391</v>
      </c>
      <c r="B349" s="162">
        <v>38461027.039999999</v>
      </c>
      <c r="C349" s="163">
        <v>0</v>
      </c>
      <c r="D349" s="162">
        <v>38461027.039999999</v>
      </c>
      <c r="E349" s="136">
        <f t="shared" si="82"/>
        <v>0</v>
      </c>
      <c r="F349" s="87">
        <f t="shared" si="81"/>
        <v>38461027.039999999</v>
      </c>
      <c r="J349" t="s">
        <v>562</v>
      </c>
    </row>
    <row r="350" spans="1:11" ht="16.2" customHeight="1">
      <c r="A350" s="161" t="s">
        <v>392</v>
      </c>
      <c r="B350" s="163"/>
      <c r="C350" s="163"/>
      <c r="D350" s="163"/>
      <c r="E350" s="136">
        <f t="shared" si="82"/>
        <v>0</v>
      </c>
      <c r="F350" s="87">
        <f t="shared" si="81"/>
        <v>0</v>
      </c>
    </row>
    <row r="351" spans="1:11" ht="16.2" customHeight="1">
      <c r="A351" s="161" t="s">
        <v>393</v>
      </c>
      <c r="B351" s="162">
        <v>133747135.28</v>
      </c>
      <c r="C351" s="162">
        <v>9900000</v>
      </c>
      <c r="D351" s="162">
        <v>123847135.28</v>
      </c>
      <c r="E351" s="136">
        <f t="shared" si="82"/>
        <v>0</v>
      </c>
      <c r="F351" s="87">
        <f t="shared" si="81"/>
        <v>123847135.28</v>
      </c>
    </row>
    <row r="352" spans="1:11" ht="16.2" customHeight="1" thickBot="1">
      <c r="A352" s="165" t="s">
        <v>394</v>
      </c>
      <c r="B352" s="166">
        <v>101508150.33</v>
      </c>
      <c r="C352" s="166">
        <v>2310018.7599999998</v>
      </c>
      <c r="D352" s="166">
        <v>99198131.569999993</v>
      </c>
      <c r="E352" s="136">
        <f t="shared" si="82"/>
        <v>0</v>
      </c>
      <c r="F352" s="87">
        <f t="shared" si="81"/>
        <v>99198131.569999993</v>
      </c>
      <c r="J352" s="73">
        <v>472875714.89999998</v>
      </c>
    </row>
    <row r="353" spans="1:16" ht="16.2" customHeight="1" thickBot="1">
      <c r="A353" s="167" t="s">
        <v>35</v>
      </c>
      <c r="B353" s="168">
        <v>273716312.64999998</v>
      </c>
      <c r="C353" s="168">
        <v>12210018.76</v>
      </c>
      <c r="D353" s="168">
        <v>261506293.88999999</v>
      </c>
      <c r="E353" s="136">
        <f t="shared" si="82"/>
        <v>0</v>
      </c>
      <c r="F353" s="87">
        <f t="shared" si="81"/>
        <v>261506293.88999999</v>
      </c>
      <c r="J353" s="73">
        <v>62005545.149999999</v>
      </c>
    </row>
    <row r="354" spans="1:16">
      <c r="A354" s="144" t="s">
        <v>156</v>
      </c>
      <c r="B354" s="164">
        <f>SUM(B349:B352)</f>
        <v>273716312.64999998</v>
      </c>
      <c r="C354" s="164">
        <f t="shared" ref="C354:D354" si="85">SUM(C349:C352)</f>
        <v>12210018.76</v>
      </c>
      <c r="D354" s="164">
        <f t="shared" si="85"/>
        <v>261506293.88999999</v>
      </c>
      <c r="E354" s="136">
        <f t="shared" si="82"/>
        <v>0</v>
      </c>
      <c r="F354" s="87">
        <f t="shared" si="81"/>
        <v>261506293.88999999</v>
      </c>
      <c r="J354" s="73">
        <f>+J352-J353</f>
        <v>410870169.75</v>
      </c>
    </row>
    <row r="355" spans="1:16">
      <c r="A355" s="144"/>
      <c r="B355" s="164">
        <f>+B353-B354</f>
        <v>0</v>
      </c>
      <c r="C355" s="164">
        <f t="shared" ref="C355" si="86">+C353-C354</f>
        <v>0</v>
      </c>
      <c r="D355" s="164">
        <f t="shared" ref="D355" si="87">+D353-D354</f>
        <v>0</v>
      </c>
      <c r="E355" s="136">
        <f t="shared" si="82"/>
        <v>0</v>
      </c>
      <c r="J355" s="73">
        <v>96549106.709999993</v>
      </c>
    </row>
    <row r="356" spans="1:16">
      <c r="J356" s="73">
        <f>+J354-J355</f>
        <v>314321063.04000002</v>
      </c>
    </row>
    <row r="357" spans="1:16" ht="15" thickBot="1">
      <c r="A357" s="141" t="s">
        <v>395</v>
      </c>
    </row>
    <row r="358" spans="1:16" ht="15" thickBot="1">
      <c r="B358" s="75" t="s">
        <v>144</v>
      </c>
      <c r="C358" s="75">
        <v>2022</v>
      </c>
      <c r="D358" s="75">
        <v>2021</v>
      </c>
    </row>
    <row r="359" spans="1:16">
      <c r="B359" s="100" t="s">
        <v>396</v>
      </c>
      <c r="C359" s="169">
        <v>3085912625.6900001</v>
      </c>
      <c r="D359" s="169">
        <v>2180293901.6399999</v>
      </c>
      <c r="F359" s="88">
        <f t="shared" ref="F359:F361" si="88">+C359-D359</f>
        <v>905618724.05000019</v>
      </c>
      <c r="G359" s="92">
        <f t="shared" ref="G359:G361" si="89">+F359/D359</f>
        <v>0.41536543461814984</v>
      </c>
      <c r="H359" s="103" t="s">
        <v>237</v>
      </c>
      <c r="J359" s="73">
        <v>1203765940.4200001</v>
      </c>
      <c r="K359" s="79">
        <f t="shared" ref="K359:K361" si="90">+D359-J359</f>
        <v>976527961.21999979</v>
      </c>
      <c r="M359" s="131">
        <v>3080343073.9899998</v>
      </c>
      <c r="N359">
        <v>0</v>
      </c>
      <c r="O359" s="73">
        <f t="shared" ref="O359:O362" si="91">+C359-M359</f>
        <v>5569551.7000002861</v>
      </c>
      <c r="P359" s="73">
        <f t="shared" ref="P359:P362" si="92">+D359-N359</f>
        <v>2180293901.6399999</v>
      </c>
    </row>
    <row r="360" spans="1:16">
      <c r="B360" s="100" t="s">
        <v>397</v>
      </c>
      <c r="C360" s="169">
        <v>1705201767.53</v>
      </c>
      <c r="D360" s="169">
        <v>725914794.02999997</v>
      </c>
      <c r="F360" s="88">
        <f t="shared" si="88"/>
        <v>979286973.5</v>
      </c>
      <c r="G360" s="92">
        <f t="shared" si="89"/>
        <v>1.3490384567910167</v>
      </c>
      <c r="H360" s="103" t="s">
        <v>237</v>
      </c>
      <c r="J360" s="73">
        <v>282460878.01999998</v>
      </c>
      <c r="K360" s="79">
        <f t="shared" si="90"/>
        <v>443453916.00999999</v>
      </c>
      <c r="M360" s="131">
        <v>1751324195.47</v>
      </c>
      <c r="N360" s="73">
        <v>1176654749.3299999</v>
      </c>
      <c r="O360" s="73">
        <f t="shared" si="91"/>
        <v>-46122427.940000057</v>
      </c>
      <c r="P360" s="73">
        <f t="shared" si="92"/>
        <v>-450739955.29999995</v>
      </c>
    </row>
    <row r="361" spans="1:16" ht="15" thickBot="1">
      <c r="B361" s="98" t="s">
        <v>398</v>
      </c>
      <c r="C361" s="83">
        <v>1234906487.28</v>
      </c>
      <c r="D361" s="170">
        <v>2249990039.96</v>
      </c>
      <c r="F361" s="88">
        <f t="shared" si="88"/>
        <v>-1015083552.6800001</v>
      </c>
      <c r="G361" s="92">
        <f t="shared" si="89"/>
        <v>-0.45115024273531718</v>
      </c>
      <c r="H361" s="103" t="s">
        <v>237</v>
      </c>
      <c r="J361" s="73">
        <v>5853838089.5500002</v>
      </c>
      <c r="K361" s="79">
        <f t="shared" si="90"/>
        <v>-3603848049.5900002</v>
      </c>
      <c r="M361" s="131">
        <v>1234906487.28</v>
      </c>
      <c r="N361" s="73">
        <v>4438797706.5100002</v>
      </c>
      <c r="O361" s="73">
        <f t="shared" si="91"/>
        <v>0</v>
      </c>
      <c r="P361" s="73">
        <f t="shared" si="92"/>
        <v>-2188807666.5500002</v>
      </c>
    </row>
    <row r="362" spans="1:16" ht="15" thickBot="1">
      <c r="B362" s="84" t="s">
        <v>35</v>
      </c>
      <c r="C362" s="85">
        <v>6026020880.5</v>
      </c>
      <c r="D362" s="85">
        <v>5615452455.8400002</v>
      </c>
      <c r="M362" s="131">
        <f>SUM(M359:M361)</f>
        <v>6066573756.7399998</v>
      </c>
      <c r="N362" s="131">
        <f>SUM(N359:N361)</f>
        <v>5615452455.8400002</v>
      </c>
      <c r="O362" s="73">
        <f t="shared" si="91"/>
        <v>-40552876.239999771</v>
      </c>
      <c r="P362" s="73">
        <f t="shared" si="92"/>
        <v>0</v>
      </c>
    </row>
    <row r="363" spans="1:16">
      <c r="B363" s="96" t="s">
        <v>156</v>
      </c>
      <c r="C363" s="73">
        <f>SUM(C359:C361)</f>
        <v>6026020880.5</v>
      </c>
      <c r="D363" s="73">
        <f>SUM(D359:D361)</f>
        <v>5156198735.6300001</v>
      </c>
    </row>
    <row r="364" spans="1:16">
      <c r="B364" s="96" t="s">
        <v>156</v>
      </c>
      <c r="C364" s="73">
        <f>+C362-C363</f>
        <v>0</v>
      </c>
      <c r="D364" s="154">
        <f>+D362-D363</f>
        <v>459253720.21000004</v>
      </c>
    </row>
    <row r="365" spans="1:16">
      <c r="B365" s="108" t="s">
        <v>168</v>
      </c>
      <c r="C365" s="73">
        <f>+M362</f>
        <v>6066573756.7399998</v>
      </c>
      <c r="D365" s="73">
        <f>+N362</f>
        <v>5615452455.8400002</v>
      </c>
    </row>
    <row r="366" spans="1:16">
      <c r="B366" s="108" t="s">
        <v>168</v>
      </c>
      <c r="C366" s="73">
        <f>+C362-C365</f>
        <v>-40552876.239999771</v>
      </c>
      <c r="D366" s="73">
        <f>+D362-D365</f>
        <v>0</v>
      </c>
    </row>
    <row r="368" spans="1:16" ht="15" thickBot="1">
      <c r="A368" s="141" t="s">
        <v>399</v>
      </c>
    </row>
    <row r="369" spans="1:16" ht="15" thickBot="1">
      <c r="B369" s="75" t="s">
        <v>276</v>
      </c>
      <c r="C369" s="75">
        <v>2022</v>
      </c>
      <c r="D369" s="75">
        <v>2021</v>
      </c>
    </row>
    <row r="370" spans="1:16" ht="15" thickBot="1">
      <c r="B370" s="98" t="s">
        <v>23</v>
      </c>
      <c r="C370" s="83">
        <v>1057117615.86</v>
      </c>
      <c r="D370" s="83">
        <v>2157016057.1199999</v>
      </c>
      <c r="F370" s="88">
        <f t="shared" ref="F370" si="93">+C370-D370</f>
        <v>-1099898441.2599998</v>
      </c>
      <c r="G370" s="92">
        <f t="shared" ref="G370" si="94">+F370/D370</f>
        <v>-0.50991666827393012</v>
      </c>
      <c r="H370" s="103" t="s">
        <v>237</v>
      </c>
      <c r="J370" s="73">
        <v>2156863059.52</v>
      </c>
      <c r="K370" s="79">
        <f t="shared" ref="K370" si="95">+D370-J370</f>
        <v>152997.59999990463</v>
      </c>
      <c r="M370" s="131">
        <v>1057117615.11</v>
      </c>
      <c r="N370" s="73">
        <v>2157016057.5999999</v>
      </c>
      <c r="O370" s="73">
        <f t="shared" ref="O370" si="96">+C370-M370</f>
        <v>0.75</v>
      </c>
      <c r="P370" s="73">
        <f t="shared" ref="P370" si="97">+D370-N370</f>
        <v>-0.48000001907348633</v>
      </c>
    </row>
    <row r="371" spans="1:16" ht="15" thickBot="1">
      <c r="B371" s="84" t="s">
        <v>35</v>
      </c>
      <c r="C371" s="85">
        <v>1057117615.86</v>
      </c>
      <c r="D371" s="106">
        <v>2157016057.1199999</v>
      </c>
    </row>
    <row r="372" spans="1:16">
      <c r="B372" s="96" t="s">
        <v>156</v>
      </c>
      <c r="C372" s="73">
        <f>SUM(C370)</f>
        <v>1057117615.86</v>
      </c>
      <c r="D372" s="73">
        <f>SUM(D370)</f>
        <v>2157016057.1199999</v>
      </c>
    </row>
    <row r="373" spans="1:16">
      <c r="B373" s="96" t="s">
        <v>156</v>
      </c>
      <c r="C373" s="73">
        <f>+C371-C372</f>
        <v>0</v>
      </c>
      <c r="D373" s="73">
        <f>+D371-D372</f>
        <v>0</v>
      </c>
    </row>
    <row r="374" spans="1:16">
      <c r="B374" s="108" t="s">
        <v>168</v>
      </c>
      <c r="C374" s="73">
        <f>+M370</f>
        <v>1057117615.11</v>
      </c>
      <c r="D374" s="73">
        <f>+N370</f>
        <v>2157016057.5999999</v>
      </c>
    </row>
    <row r="375" spans="1:16">
      <c r="B375" s="108" t="s">
        <v>168</v>
      </c>
      <c r="C375" s="154">
        <f>+C371-C374</f>
        <v>0.75</v>
      </c>
      <c r="D375" s="154">
        <f>+D371-D374</f>
        <v>-0.48000001907348633</v>
      </c>
    </row>
    <row r="377" spans="1:16" ht="15" thickBot="1">
      <c r="A377" s="141" t="s">
        <v>400</v>
      </c>
    </row>
    <row r="378" spans="1:16" ht="15" thickBot="1">
      <c r="B378" s="75" t="s">
        <v>144</v>
      </c>
      <c r="C378" s="75">
        <v>2022</v>
      </c>
      <c r="D378" s="75">
        <v>2021</v>
      </c>
    </row>
    <row r="379" spans="1:16">
      <c r="B379" s="430" t="s">
        <v>401</v>
      </c>
      <c r="C379" s="430"/>
      <c r="D379" s="77"/>
    </row>
    <row r="380" spans="1:16">
      <c r="B380" s="81" t="s">
        <v>402</v>
      </c>
      <c r="C380" s="79">
        <v>6019190</v>
      </c>
      <c r="D380" s="79">
        <v>5448488.9199999999</v>
      </c>
      <c r="F380" s="88">
        <f t="shared" ref="F380" si="98">+C380-D380</f>
        <v>570701.08000000007</v>
      </c>
      <c r="G380" s="92">
        <f t="shared" ref="G380" si="99">+F380/D380</f>
        <v>0.10474483629857508</v>
      </c>
      <c r="J380" s="73">
        <v>5448488.9199999999</v>
      </c>
      <c r="K380" s="79">
        <f t="shared" ref="K380:K381" si="100">+D380-J380</f>
        <v>0</v>
      </c>
      <c r="M380" s="131">
        <v>6019190</v>
      </c>
      <c r="N380" s="73">
        <v>5448488.9199999999</v>
      </c>
      <c r="O380" s="73">
        <f t="shared" ref="O380:O381" si="101">+C380-M380</f>
        <v>0</v>
      </c>
      <c r="P380" s="73">
        <f t="shared" ref="P380:P381" si="102">+D380-N380</f>
        <v>0</v>
      </c>
    </row>
    <row r="381" spans="1:16" ht="15" thickBot="1">
      <c r="B381" s="82" t="s">
        <v>403</v>
      </c>
      <c r="C381" s="83">
        <v>96360292.900000006</v>
      </c>
      <c r="D381" s="83">
        <v>91180305.200000003</v>
      </c>
      <c r="F381" s="88">
        <f t="shared" ref="F381" si="103">+C381-D381</f>
        <v>5179987.700000003</v>
      </c>
      <c r="G381" s="92">
        <f t="shared" ref="G381" si="104">+F381/D381</f>
        <v>5.6810379046636522E-2</v>
      </c>
      <c r="J381" s="73">
        <v>91180305.200000003</v>
      </c>
      <c r="K381" s="79">
        <f t="shared" si="100"/>
        <v>0</v>
      </c>
      <c r="M381" s="131">
        <v>96360292.900000006</v>
      </c>
      <c r="N381" s="73">
        <v>91180305.200000003</v>
      </c>
      <c r="O381" s="73">
        <f t="shared" si="101"/>
        <v>0</v>
      </c>
      <c r="P381" s="73">
        <f t="shared" si="102"/>
        <v>0</v>
      </c>
    </row>
    <row r="382" spans="1:16" ht="15" thickBot="1">
      <c r="B382" s="112" t="s">
        <v>190</v>
      </c>
      <c r="C382" s="85">
        <v>102379482.90000001</v>
      </c>
      <c r="D382" s="85">
        <v>96628794.120000005</v>
      </c>
    </row>
    <row r="383" spans="1:16">
      <c r="A383" s="144" t="s">
        <v>156</v>
      </c>
      <c r="B383" s="76"/>
      <c r="C383" s="113">
        <f>SUM(C380:C381)</f>
        <v>102379482.90000001</v>
      </c>
      <c r="D383" s="113">
        <f>SUM(D380:D381)</f>
        <v>96628794.120000005</v>
      </c>
    </row>
    <row r="384" spans="1:16">
      <c r="A384" s="144" t="s">
        <v>156</v>
      </c>
      <c r="B384" s="76"/>
      <c r="C384" s="113">
        <f>+C382-C383</f>
        <v>0</v>
      </c>
      <c r="D384" s="113">
        <f>+D382-D383</f>
        <v>0</v>
      </c>
    </row>
    <row r="385" spans="1:16">
      <c r="B385" s="76" t="s">
        <v>116</v>
      </c>
      <c r="C385" s="77"/>
      <c r="D385" s="77"/>
    </row>
    <row r="386" spans="1:16">
      <c r="B386" s="81" t="s">
        <v>404</v>
      </c>
      <c r="C386" s="169">
        <v>5729949911.7200003</v>
      </c>
      <c r="D386" s="169">
        <v>9175401484.9099998</v>
      </c>
      <c r="F386" s="88">
        <f t="shared" ref="F386:F390" si="105">+C386-D386</f>
        <v>-3445451573.1899996</v>
      </c>
      <c r="G386" s="92">
        <f t="shared" ref="G386:G390" si="106">+F386/D386</f>
        <v>-0.3755096252579726</v>
      </c>
      <c r="H386" s="103" t="s">
        <v>237</v>
      </c>
      <c r="J386" s="73">
        <v>8670721527.3400002</v>
      </c>
      <c r="K386" s="79">
        <f t="shared" ref="K386:K390" si="107">+D386-J386</f>
        <v>504679957.56999969</v>
      </c>
      <c r="M386" s="131">
        <v>4718365942.5799999</v>
      </c>
      <c r="N386" s="73">
        <v>8632935877.6299992</v>
      </c>
      <c r="O386" s="73">
        <f t="shared" ref="O386:O390" si="108">+C386-M386</f>
        <v>1011583969.1400003</v>
      </c>
      <c r="P386" s="73">
        <f t="shared" ref="P386:P390" si="109">+D386-N386</f>
        <v>542465607.28000069</v>
      </c>
    </row>
    <row r="387" spans="1:16" ht="27.6">
      <c r="B387" s="81" t="s">
        <v>405</v>
      </c>
      <c r="C387" s="79">
        <v>-519489331.14999998</v>
      </c>
      <c r="D387" s="79">
        <v>-46522421.799999997</v>
      </c>
      <c r="F387" s="88">
        <f t="shared" si="105"/>
        <v>-472966909.34999996</v>
      </c>
      <c r="G387" s="92">
        <f t="shared" si="106"/>
        <v>10.166429241007398</v>
      </c>
      <c r="H387" s="103" t="s">
        <v>237</v>
      </c>
      <c r="J387" s="73">
        <v>-46522421.799999997</v>
      </c>
      <c r="K387" s="79">
        <f t="shared" si="107"/>
        <v>0</v>
      </c>
      <c r="M387" s="131">
        <v>-519489331.14999998</v>
      </c>
      <c r="N387" s="73">
        <v>-46522421.799999997</v>
      </c>
      <c r="O387" s="73">
        <f t="shared" si="108"/>
        <v>0</v>
      </c>
      <c r="P387" s="73">
        <f t="shared" si="109"/>
        <v>0</v>
      </c>
    </row>
    <row r="388" spans="1:16">
      <c r="B388" s="81" t="s">
        <v>406</v>
      </c>
      <c r="C388" s="169">
        <v>3516848505.4499998</v>
      </c>
      <c r="D388" s="169">
        <v>6378817442.0600004</v>
      </c>
      <c r="F388" s="88">
        <f t="shared" si="105"/>
        <v>-2861968936.6100006</v>
      </c>
      <c r="G388" s="92">
        <f t="shared" si="106"/>
        <v>-0.44866763512293667</v>
      </c>
      <c r="H388" s="103" t="s">
        <v>167</v>
      </c>
      <c r="J388" s="73">
        <v>5824650245.8100004</v>
      </c>
      <c r="K388" s="79">
        <f t="shared" si="107"/>
        <v>554167196.25</v>
      </c>
      <c r="M388" s="131">
        <v>4295902261.4300003</v>
      </c>
      <c r="N388" s="73">
        <v>5824650245.8100004</v>
      </c>
      <c r="O388" s="73">
        <f t="shared" si="108"/>
        <v>-779053755.9800005</v>
      </c>
      <c r="P388" s="73">
        <f t="shared" si="109"/>
        <v>554167196.25</v>
      </c>
    </row>
    <row r="389" spans="1:16" ht="27.6">
      <c r="B389" s="81" t="s">
        <v>407</v>
      </c>
      <c r="C389" s="79">
        <v>-409255380.81999999</v>
      </c>
      <c r="D389" s="79">
        <v>-365040321.39999998</v>
      </c>
      <c r="F389" s="88">
        <f t="shared" si="105"/>
        <v>-44215059.420000017</v>
      </c>
      <c r="G389" s="92">
        <f t="shared" si="106"/>
        <v>0.12112376860294979</v>
      </c>
      <c r="J389" s="73">
        <v>-365040321.39999998</v>
      </c>
      <c r="K389" s="79">
        <f t="shared" si="107"/>
        <v>0</v>
      </c>
      <c r="M389" s="131">
        <v>-409255380.81999999</v>
      </c>
      <c r="N389" s="73">
        <v>-365040321.39999998</v>
      </c>
      <c r="O389" s="73">
        <f t="shared" si="108"/>
        <v>0</v>
      </c>
      <c r="P389" s="73">
        <f t="shared" si="109"/>
        <v>0</v>
      </c>
    </row>
    <row r="390" spans="1:16" ht="15" thickBot="1">
      <c r="B390" s="82" t="s">
        <v>408</v>
      </c>
      <c r="C390" s="83">
        <v>409456134.87</v>
      </c>
      <c r="D390" s="83">
        <v>404073115.30000001</v>
      </c>
      <c r="F390" s="88">
        <f t="shared" si="105"/>
        <v>5383019.5699999928</v>
      </c>
      <c r="G390" s="92">
        <f t="shared" si="106"/>
        <v>1.3321894890243871E-2</v>
      </c>
      <c r="J390" s="73">
        <v>404073115.30000001</v>
      </c>
      <c r="K390" s="79">
        <f t="shared" si="107"/>
        <v>0</v>
      </c>
      <c r="M390" s="131">
        <v>409456134.87</v>
      </c>
      <c r="N390" s="73">
        <v>404073115.30000001</v>
      </c>
      <c r="O390" s="73">
        <f t="shared" si="108"/>
        <v>0</v>
      </c>
      <c r="P390" s="73">
        <f t="shared" si="109"/>
        <v>0</v>
      </c>
    </row>
    <row r="391" spans="1:16" ht="15" thickBot="1">
      <c r="B391" s="112" t="s">
        <v>190</v>
      </c>
      <c r="C391" s="85">
        <v>8727509840.0699997</v>
      </c>
      <c r="D391" s="85">
        <v>15546729299.059999</v>
      </c>
    </row>
    <row r="392" spans="1:16">
      <c r="A392" s="144" t="s">
        <v>156</v>
      </c>
      <c r="B392" s="76"/>
      <c r="C392" s="113">
        <f>SUM(C386:C390)</f>
        <v>8727509840.0700016</v>
      </c>
      <c r="D392" s="113">
        <f>SUM(D386:D390)</f>
        <v>15546729299.070002</v>
      </c>
    </row>
    <row r="393" spans="1:16">
      <c r="A393" s="144" t="s">
        <v>156</v>
      </c>
      <c r="B393" s="76"/>
      <c r="C393" s="113">
        <f>+C391-C392</f>
        <v>0</v>
      </c>
      <c r="D393" s="173">
        <f>+D391-D392</f>
        <v>-1.000213623046875E-2</v>
      </c>
    </row>
    <row r="394" spans="1:16" ht="27.6">
      <c r="B394" s="76" t="s">
        <v>117</v>
      </c>
      <c r="C394" s="134"/>
      <c r="D394" s="134"/>
    </row>
    <row r="395" spans="1:16">
      <c r="B395" s="81" t="s">
        <v>409</v>
      </c>
      <c r="C395" s="79">
        <v>3825942275.1900001</v>
      </c>
      <c r="D395" s="79">
        <v>4427343400.0699997</v>
      </c>
      <c r="F395" s="88">
        <f t="shared" ref="F395:F398" si="110">+C395-D395</f>
        <v>-601401124.87999964</v>
      </c>
      <c r="G395" s="92">
        <f t="shared" ref="G395:G398" si="111">+F395/D395</f>
        <v>-0.13583792142043716</v>
      </c>
      <c r="J395" s="73">
        <v>4478060060.7299995</v>
      </c>
      <c r="K395" s="79">
        <f t="shared" ref="K395:K398" si="112">+D395-J395</f>
        <v>-50716660.659999847</v>
      </c>
      <c r="M395" s="131">
        <v>3825942275.1900001</v>
      </c>
      <c r="N395" s="73">
        <v>4427343400.0699997</v>
      </c>
      <c r="O395" s="73">
        <f t="shared" ref="O395:O398" si="113">+C395-M395</f>
        <v>0</v>
      </c>
      <c r="P395" s="73">
        <f t="shared" ref="P395:P398" si="114">+D395-N395</f>
        <v>0</v>
      </c>
    </row>
    <row r="396" spans="1:16">
      <c r="B396" s="81" t="s">
        <v>410</v>
      </c>
      <c r="C396" s="79">
        <v>9406819.8699999992</v>
      </c>
      <c r="D396" s="79">
        <v>633544.43000000005</v>
      </c>
      <c r="F396" s="88">
        <f t="shared" si="110"/>
        <v>8773275.4399999995</v>
      </c>
      <c r="G396" s="92">
        <f t="shared" si="111"/>
        <v>13.847924509414437</v>
      </c>
      <c r="H396" s="103" t="s">
        <v>237</v>
      </c>
      <c r="J396" s="73">
        <v>633544.43000000005</v>
      </c>
      <c r="K396" s="79">
        <f t="shared" si="112"/>
        <v>0</v>
      </c>
      <c r="M396" s="131">
        <v>9406819.8699999992</v>
      </c>
      <c r="N396" s="73">
        <v>633544.43000000005</v>
      </c>
      <c r="O396" s="73">
        <f t="shared" si="113"/>
        <v>0</v>
      </c>
      <c r="P396" s="73">
        <f t="shared" si="114"/>
        <v>0</v>
      </c>
    </row>
    <row r="397" spans="1:16">
      <c r="B397" s="81" t="s">
        <v>411</v>
      </c>
      <c r="C397" s="79">
        <v>157605603.83000001</v>
      </c>
      <c r="D397" s="79">
        <v>153012117.47999999</v>
      </c>
      <c r="F397" s="88">
        <f t="shared" si="110"/>
        <v>4593486.3500000238</v>
      </c>
      <c r="G397" s="92">
        <f t="shared" si="111"/>
        <v>3.0020409008459297E-2</v>
      </c>
      <c r="J397" s="73">
        <v>153012117.47999999</v>
      </c>
      <c r="K397" s="79">
        <f t="shared" si="112"/>
        <v>0</v>
      </c>
      <c r="M397" s="131">
        <v>157605603.83000001</v>
      </c>
      <c r="N397" s="73">
        <v>153012117.47999999</v>
      </c>
      <c r="O397" s="73">
        <f t="shared" si="113"/>
        <v>0</v>
      </c>
      <c r="P397" s="73">
        <f t="shared" si="114"/>
        <v>0</v>
      </c>
    </row>
    <row r="398" spans="1:16" ht="15" thickBot="1">
      <c r="B398" s="82" t="s">
        <v>412</v>
      </c>
      <c r="C398" s="83">
        <v>14636424.08</v>
      </c>
      <c r="D398" s="83">
        <v>16549112.050000001</v>
      </c>
      <c r="F398" s="88">
        <f t="shared" si="110"/>
        <v>-1912687.9700000007</v>
      </c>
      <c r="G398" s="92">
        <f t="shared" si="111"/>
        <v>-0.1155764710651047</v>
      </c>
      <c r="J398" s="73">
        <v>16549112.050000001</v>
      </c>
      <c r="K398" s="79">
        <f t="shared" si="112"/>
        <v>0</v>
      </c>
      <c r="M398" s="131">
        <v>14636424.08</v>
      </c>
      <c r="N398" s="73">
        <v>16549112.050000001</v>
      </c>
      <c r="O398" s="73">
        <f t="shared" si="113"/>
        <v>0</v>
      </c>
      <c r="P398" s="73">
        <f t="shared" si="114"/>
        <v>0</v>
      </c>
    </row>
    <row r="399" spans="1:16" ht="15" thickBot="1">
      <c r="B399" s="112" t="s">
        <v>190</v>
      </c>
      <c r="C399" s="85">
        <v>4007591122.9699998</v>
      </c>
      <c r="D399" s="85">
        <v>4597538174.0299997</v>
      </c>
    </row>
    <row r="400" spans="1:16">
      <c r="A400" s="144" t="s">
        <v>156</v>
      </c>
      <c r="B400" s="76"/>
      <c r="C400" s="113">
        <f>SUM(C395:C398)</f>
        <v>4007591122.9699998</v>
      </c>
      <c r="D400" s="113">
        <f>SUM(D395:D398)</f>
        <v>4597538174.0299997</v>
      </c>
    </row>
    <row r="401" spans="1:16">
      <c r="A401" s="144" t="s">
        <v>156</v>
      </c>
      <c r="B401" s="76"/>
      <c r="C401" s="113">
        <f>+C399-C400</f>
        <v>0</v>
      </c>
      <c r="D401" s="113">
        <f>+D399-D400</f>
        <v>0</v>
      </c>
    </row>
    <row r="402" spans="1:16">
      <c r="B402" s="76" t="s">
        <v>413</v>
      </c>
      <c r="C402" s="77"/>
      <c r="D402" s="77"/>
    </row>
    <row r="403" spans="1:16" ht="15" thickBot="1">
      <c r="B403" s="82" t="s">
        <v>414</v>
      </c>
      <c r="C403" s="83">
        <v>643209.56000000006</v>
      </c>
      <c r="D403" s="99">
        <v>800.5</v>
      </c>
      <c r="F403" s="88">
        <f t="shared" ref="F403" si="115">+C403-D403</f>
        <v>642409.06000000006</v>
      </c>
      <c r="G403" s="92">
        <f t="shared" ref="G403" si="116">+F403/D403</f>
        <v>802.50975640224863</v>
      </c>
      <c r="H403" s="103" t="s">
        <v>238</v>
      </c>
      <c r="J403">
        <v>800.5</v>
      </c>
      <c r="K403" s="79">
        <f t="shared" ref="K403" si="117">+D403-J403</f>
        <v>0</v>
      </c>
      <c r="M403" s="131">
        <v>643209.56000000006</v>
      </c>
      <c r="N403">
        <v>800.5</v>
      </c>
      <c r="O403" s="73">
        <f t="shared" ref="O403" si="118">+C403-M403</f>
        <v>0</v>
      </c>
      <c r="P403" s="73">
        <f t="shared" ref="P403" si="119">+D403-N403</f>
        <v>0</v>
      </c>
    </row>
    <row r="404" spans="1:16" ht="15" thickBot="1">
      <c r="B404" s="112" t="s">
        <v>190</v>
      </c>
      <c r="C404" s="85">
        <v>643209.56000000006</v>
      </c>
      <c r="D404" s="171">
        <v>800.5</v>
      </c>
    </row>
    <row r="405" spans="1:16">
      <c r="A405" s="144" t="s">
        <v>156</v>
      </c>
      <c r="B405" s="76"/>
      <c r="C405" s="113">
        <f>SUM(C403)</f>
        <v>643209.56000000006</v>
      </c>
      <c r="D405" s="113">
        <f>SUM(D403)</f>
        <v>800.5</v>
      </c>
    </row>
    <row r="406" spans="1:16">
      <c r="A406" s="144" t="s">
        <v>156</v>
      </c>
      <c r="B406" s="76"/>
      <c r="C406" s="113">
        <f>+C404-C405</f>
        <v>0</v>
      </c>
      <c r="D406" s="113">
        <f>+D404-D405</f>
        <v>0</v>
      </c>
    </row>
    <row r="407" spans="1:16" ht="27.6">
      <c r="B407" s="76" t="s">
        <v>415</v>
      </c>
      <c r="C407" s="77"/>
      <c r="D407" s="77"/>
    </row>
    <row r="408" spans="1:16" ht="28.2" thickBot="1">
      <c r="B408" s="82" t="s">
        <v>416</v>
      </c>
      <c r="C408" s="83">
        <v>208338885.31</v>
      </c>
      <c r="D408" s="83">
        <v>107378681.55</v>
      </c>
      <c r="F408" s="88">
        <f t="shared" ref="F408" si="120">+C408-D408</f>
        <v>100960203.76000001</v>
      </c>
      <c r="G408" s="92">
        <f t="shared" ref="G408" si="121">+F408/D408</f>
        <v>0.94022577203081714</v>
      </c>
      <c r="H408" s="103" t="s">
        <v>237</v>
      </c>
      <c r="J408" s="73">
        <v>107378681.55</v>
      </c>
      <c r="K408" s="79">
        <f t="shared" ref="K408" si="122">+D408-J408</f>
        <v>0</v>
      </c>
      <c r="M408" s="131">
        <v>208338885.31</v>
      </c>
      <c r="N408" s="73">
        <v>107378681.55</v>
      </c>
      <c r="O408" s="73">
        <f t="shared" ref="O408" si="123">+C408-M408</f>
        <v>0</v>
      </c>
      <c r="P408" s="73">
        <f t="shared" ref="P408" si="124">+D408-N408</f>
        <v>0</v>
      </c>
    </row>
    <row r="409" spans="1:16" ht="15" thickBot="1">
      <c r="B409" s="112" t="s">
        <v>190</v>
      </c>
      <c r="C409" s="85">
        <v>208338885.31</v>
      </c>
      <c r="D409" s="85">
        <v>107378681.55</v>
      </c>
    </row>
    <row r="410" spans="1:16" ht="15" thickBot="1">
      <c r="A410" s="144" t="s">
        <v>156</v>
      </c>
      <c r="B410" s="112"/>
      <c r="C410" s="85">
        <f>SUM(C408)</f>
        <v>208338885.31</v>
      </c>
      <c r="D410" s="85">
        <f>SUM(D408)</f>
        <v>107378681.55</v>
      </c>
    </row>
    <row r="411" spans="1:16" ht="15" thickBot="1">
      <c r="A411" s="144" t="s">
        <v>156</v>
      </c>
      <c r="B411" s="76"/>
      <c r="C411" s="113">
        <f>+C409-C410</f>
        <v>0</v>
      </c>
      <c r="D411" s="113">
        <f>+D409-D410</f>
        <v>0</v>
      </c>
    </row>
    <row r="412" spans="1:16" ht="15" thickBot="1">
      <c r="B412" s="172" t="s">
        <v>35</v>
      </c>
      <c r="C412" s="157">
        <v>13046462540.809999</v>
      </c>
      <c r="D412" s="157">
        <v>20348275749.259998</v>
      </c>
      <c r="F412" s="88"/>
      <c r="G412" s="92"/>
    </row>
    <row r="413" spans="1:16">
      <c r="B413" s="96" t="s">
        <v>156</v>
      </c>
      <c r="C413" s="73">
        <f>+C383+C392+C400+C405+C410</f>
        <v>13046462540.809999</v>
      </c>
      <c r="D413" s="73">
        <f>+D383+D392+D400+D405+D410</f>
        <v>20348275749.27</v>
      </c>
      <c r="M413" s="174">
        <f>SUM(M378:M412)</f>
        <v>12813932327.650002</v>
      </c>
      <c r="N413" s="174">
        <f t="shared" ref="N413" si="125">SUM(N378:N412)</f>
        <v>19251642945.740002</v>
      </c>
      <c r="O413" s="73">
        <f t="shared" ref="O413" si="126">+C413-M413</f>
        <v>232530213.15999794</v>
      </c>
      <c r="P413" s="73">
        <f t="shared" ref="P413" si="127">+D413-N413</f>
        <v>1096632803.5299988</v>
      </c>
    </row>
    <row r="414" spans="1:16">
      <c r="B414" s="96" t="s">
        <v>156</v>
      </c>
      <c r="C414" s="73">
        <f>+C412-C413</f>
        <v>0</v>
      </c>
      <c r="D414" s="154">
        <f>+D412-D413</f>
        <v>-1.000213623046875E-2</v>
      </c>
    </row>
    <row r="415" spans="1:16">
      <c r="B415" s="108" t="s">
        <v>168</v>
      </c>
      <c r="C415" s="73">
        <f>+M413</f>
        <v>12813932327.650002</v>
      </c>
      <c r="D415" s="73">
        <f>+N413</f>
        <v>19251642945.740002</v>
      </c>
    </row>
    <row r="416" spans="1:16">
      <c r="B416" s="108" t="s">
        <v>168</v>
      </c>
      <c r="C416" s="73">
        <f>+C412-C415</f>
        <v>232530213.15999794</v>
      </c>
      <c r="D416" s="73">
        <f>+D412-D415</f>
        <v>1096632803.5199966</v>
      </c>
    </row>
    <row r="418" spans="1:16" ht="15" thickBot="1">
      <c r="A418" s="175" t="s">
        <v>417</v>
      </c>
    </row>
    <row r="419" spans="1:16" ht="15" thickBot="1">
      <c r="B419" s="75" t="s">
        <v>276</v>
      </c>
      <c r="C419" s="75">
        <v>2022</v>
      </c>
      <c r="D419" s="75">
        <v>2021</v>
      </c>
    </row>
    <row r="420" spans="1:16" ht="28.2" thickBot="1">
      <c r="B420" s="82" t="s">
        <v>418</v>
      </c>
      <c r="C420" s="83">
        <v>4602952487</v>
      </c>
      <c r="D420" s="83">
        <v>3763196569</v>
      </c>
      <c r="F420" s="88">
        <f t="shared" ref="F420" si="128">+C420-D420</f>
        <v>839755918</v>
      </c>
      <c r="G420" s="92">
        <f t="shared" ref="G420" si="129">+F420/D420</f>
        <v>0.22314962893983228</v>
      </c>
      <c r="J420" s="73">
        <v>3763196569</v>
      </c>
      <c r="K420" s="79">
        <f t="shared" ref="K420" si="130">+D420-J420</f>
        <v>0</v>
      </c>
      <c r="M420" s="131">
        <v>4602952487</v>
      </c>
      <c r="N420" s="73">
        <v>3763196569</v>
      </c>
      <c r="O420" s="73">
        <f t="shared" ref="O420" si="131">+C420-M420</f>
        <v>0</v>
      </c>
      <c r="P420" s="73">
        <f t="shared" ref="P420" si="132">+D420-N420</f>
        <v>0</v>
      </c>
    </row>
    <row r="421" spans="1:16" ht="15" thickBot="1">
      <c r="B421" s="84" t="s">
        <v>35</v>
      </c>
      <c r="C421" s="85">
        <v>4602952487</v>
      </c>
      <c r="D421" s="85">
        <v>3763196569</v>
      </c>
    </row>
    <row r="422" spans="1:16">
      <c r="B422" s="96" t="s">
        <v>156</v>
      </c>
      <c r="C422" s="73">
        <f>SUM(C420)</f>
        <v>4602952487</v>
      </c>
      <c r="D422" s="73">
        <f>SUM(D420)</f>
        <v>3763196569</v>
      </c>
    </row>
    <row r="423" spans="1:16">
      <c r="B423" s="96" t="s">
        <v>156</v>
      </c>
      <c r="C423" s="73">
        <f>+C421-C422</f>
        <v>0</v>
      </c>
      <c r="D423" s="73">
        <f>+D421-D422</f>
        <v>0</v>
      </c>
    </row>
    <row r="424" spans="1:16">
      <c r="B424" s="108" t="s">
        <v>168</v>
      </c>
      <c r="C424" s="73">
        <f>+M420</f>
        <v>4602952487</v>
      </c>
      <c r="D424" s="73">
        <f>+N420</f>
        <v>3763196569</v>
      </c>
    </row>
    <row r="425" spans="1:16">
      <c r="B425" s="108" t="s">
        <v>168</v>
      </c>
      <c r="C425" s="73">
        <f>+C421-C424</f>
        <v>0</v>
      </c>
      <c r="D425" s="73">
        <f>+D421-D424</f>
        <v>0</v>
      </c>
    </row>
    <row r="427" spans="1:16" ht="15" thickBot="1">
      <c r="A427" s="175" t="s">
        <v>419</v>
      </c>
    </row>
    <row r="428" spans="1:16" ht="15" thickBot="1">
      <c r="B428" s="75" t="s">
        <v>144</v>
      </c>
      <c r="C428" s="75">
        <v>2022</v>
      </c>
      <c r="D428" s="75">
        <v>2021</v>
      </c>
    </row>
    <row r="429" spans="1:16">
      <c r="B429" s="76" t="s">
        <v>420</v>
      </c>
      <c r="C429" s="77"/>
      <c r="D429" s="77"/>
    </row>
    <row r="430" spans="1:16">
      <c r="B430" s="81" t="s">
        <v>421</v>
      </c>
      <c r="C430" s="79">
        <v>540573611.85000002</v>
      </c>
      <c r="D430" s="79">
        <v>502632551.01999998</v>
      </c>
      <c r="F430" s="88">
        <f t="shared" ref="F430:F439" si="133">+C430-D430</f>
        <v>37941060.830000043</v>
      </c>
      <c r="G430" s="92">
        <f t="shared" ref="G430:G439" si="134">+F430/D430</f>
        <v>7.5484687080066074E-2</v>
      </c>
      <c r="J430" s="73">
        <v>502632551.01999998</v>
      </c>
      <c r="K430" s="79">
        <f t="shared" ref="K430:K439" si="135">+D430-J430</f>
        <v>0</v>
      </c>
      <c r="M430" s="131">
        <v>540573611.85000002</v>
      </c>
      <c r="N430" s="73">
        <v>502632551.01999998</v>
      </c>
      <c r="O430" s="73">
        <f t="shared" ref="O430:O439" si="136">+C430-M430</f>
        <v>0</v>
      </c>
      <c r="P430" s="73">
        <f t="shared" ref="P430:P439" si="137">+D430-N430</f>
        <v>0</v>
      </c>
    </row>
    <row r="431" spans="1:16">
      <c r="B431" s="81" t="s">
        <v>422</v>
      </c>
      <c r="C431" s="79">
        <v>13501419</v>
      </c>
      <c r="D431" s="79">
        <v>11324013.5</v>
      </c>
      <c r="F431" s="88">
        <f t="shared" si="133"/>
        <v>2177405.5</v>
      </c>
      <c r="G431" s="92">
        <f t="shared" si="134"/>
        <v>0.19228213565799793</v>
      </c>
      <c r="J431" s="73">
        <v>11324013.5</v>
      </c>
      <c r="K431" s="79">
        <f t="shared" si="135"/>
        <v>0</v>
      </c>
      <c r="M431" s="131">
        <v>13501419</v>
      </c>
      <c r="N431" s="73">
        <v>11324013.5</v>
      </c>
      <c r="O431" s="73">
        <f t="shared" si="136"/>
        <v>0</v>
      </c>
      <c r="P431" s="73">
        <f t="shared" si="137"/>
        <v>0</v>
      </c>
    </row>
    <row r="432" spans="1:16" ht="27.6">
      <c r="B432" s="81" t="s">
        <v>423</v>
      </c>
      <c r="C432" s="79">
        <v>16656428.699999999</v>
      </c>
      <c r="D432" s="79">
        <v>10210969.699999999</v>
      </c>
      <c r="F432" s="88">
        <f t="shared" si="133"/>
        <v>6445459</v>
      </c>
      <c r="G432" s="92">
        <f t="shared" si="134"/>
        <v>0.63122888318824411</v>
      </c>
      <c r="H432" s="103" t="s">
        <v>237</v>
      </c>
      <c r="J432" s="73">
        <v>10210969.699999999</v>
      </c>
      <c r="K432" s="79">
        <f t="shared" si="135"/>
        <v>0</v>
      </c>
      <c r="M432" s="131">
        <v>16656428.699999999</v>
      </c>
      <c r="N432" s="73">
        <v>10210969.699999999</v>
      </c>
      <c r="O432" s="73">
        <f t="shared" si="136"/>
        <v>0</v>
      </c>
      <c r="P432" s="73">
        <f t="shared" si="137"/>
        <v>0</v>
      </c>
    </row>
    <row r="433" spans="1:16">
      <c r="B433" s="81" t="s">
        <v>424</v>
      </c>
      <c r="C433" s="79">
        <v>72770441.319999993</v>
      </c>
      <c r="D433" s="79">
        <v>137944497.38999999</v>
      </c>
      <c r="F433" s="88">
        <f t="shared" si="133"/>
        <v>-65174056.069999993</v>
      </c>
      <c r="G433" s="92">
        <f t="shared" si="134"/>
        <v>-0.47246579097489</v>
      </c>
      <c r="H433" s="103" t="s">
        <v>237</v>
      </c>
      <c r="J433" s="73">
        <v>137944497.38999999</v>
      </c>
      <c r="K433" s="79">
        <f t="shared" si="135"/>
        <v>0</v>
      </c>
      <c r="M433" s="131">
        <v>72770441.319999993</v>
      </c>
      <c r="N433" s="73">
        <v>137944497.38999999</v>
      </c>
      <c r="O433" s="73">
        <f t="shared" si="136"/>
        <v>0</v>
      </c>
      <c r="P433" s="73">
        <f t="shared" si="137"/>
        <v>0</v>
      </c>
    </row>
    <row r="434" spans="1:16">
      <c r="B434" s="81" t="s">
        <v>425</v>
      </c>
      <c r="C434" s="79">
        <v>61918089.109999999</v>
      </c>
      <c r="D434" s="79">
        <v>57321469.100000001</v>
      </c>
      <c r="F434" s="88">
        <f t="shared" si="133"/>
        <v>4596620.0099999979</v>
      </c>
      <c r="G434" s="92">
        <f t="shared" si="134"/>
        <v>8.019019892844996E-2</v>
      </c>
      <c r="J434" s="73">
        <v>57321469.100000001</v>
      </c>
      <c r="K434" s="79">
        <f t="shared" si="135"/>
        <v>0</v>
      </c>
      <c r="M434" s="131">
        <v>61918089.109999999</v>
      </c>
      <c r="N434" s="73">
        <v>57321469.100000001</v>
      </c>
      <c r="O434" s="73">
        <f t="shared" si="136"/>
        <v>0</v>
      </c>
      <c r="P434" s="73">
        <f t="shared" si="137"/>
        <v>0</v>
      </c>
    </row>
    <row r="435" spans="1:16">
      <c r="B435" s="81" t="s">
        <v>426</v>
      </c>
      <c r="C435" s="79">
        <v>35503586.32</v>
      </c>
      <c r="D435" s="79">
        <v>42413079.530000001</v>
      </c>
      <c r="F435" s="88">
        <f t="shared" si="133"/>
        <v>-6909493.2100000009</v>
      </c>
      <c r="G435" s="92">
        <f t="shared" si="134"/>
        <v>-0.1629094912835253</v>
      </c>
      <c r="J435" s="73">
        <v>42413079.530000001</v>
      </c>
      <c r="K435" s="79">
        <f t="shared" si="135"/>
        <v>0</v>
      </c>
      <c r="M435" s="131">
        <v>35503586.32</v>
      </c>
      <c r="N435" s="73">
        <v>42413079.530000001</v>
      </c>
      <c r="O435" s="73">
        <f t="shared" si="136"/>
        <v>0</v>
      </c>
      <c r="P435" s="73">
        <f t="shared" si="137"/>
        <v>0</v>
      </c>
    </row>
    <row r="436" spans="1:16">
      <c r="B436" s="81" t="s">
        <v>427</v>
      </c>
      <c r="C436" s="79">
        <v>31611731.170000002</v>
      </c>
      <c r="D436" s="79">
        <v>41712226.780000001</v>
      </c>
      <c r="F436" s="88">
        <f t="shared" si="133"/>
        <v>-10100495.609999999</v>
      </c>
      <c r="G436" s="92">
        <f t="shared" si="134"/>
        <v>-0.24214712063377403</v>
      </c>
      <c r="J436" s="73">
        <v>41712226.780000001</v>
      </c>
      <c r="K436" s="79">
        <f t="shared" si="135"/>
        <v>0</v>
      </c>
      <c r="M436" s="131">
        <v>31611731.170000002</v>
      </c>
      <c r="N436" s="73">
        <v>41712226.780000001</v>
      </c>
      <c r="O436" s="73">
        <f t="shared" si="136"/>
        <v>0</v>
      </c>
      <c r="P436" s="73">
        <f t="shared" si="137"/>
        <v>0</v>
      </c>
    </row>
    <row r="437" spans="1:16" ht="27.6">
      <c r="B437" s="81" t="s">
        <v>428</v>
      </c>
      <c r="C437" s="79">
        <v>1755255</v>
      </c>
      <c r="D437" s="79">
        <v>1987898</v>
      </c>
      <c r="F437" s="88">
        <f t="shared" si="133"/>
        <v>-232643</v>
      </c>
      <c r="G437" s="92">
        <f t="shared" si="134"/>
        <v>-0.11702964639030775</v>
      </c>
      <c r="J437" s="73">
        <v>1987898</v>
      </c>
      <c r="K437" s="79">
        <f t="shared" si="135"/>
        <v>0</v>
      </c>
      <c r="M437" s="131">
        <v>1755255</v>
      </c>
      <c r="N437" s="73">
        <v>1987898</v>
      </c>
      <c r="O437" s="73">
        <f t="shared" si="136"/>
        <v>0</v>
      </c>
      <c r="P437" s="73">
        <f t="shared" si="137"/>
        <v>0</v>
      </c>
    </row>
    <row r="438" spans="1:16" ht="27.6">
      <c r="B438" s="81" t="s">
        <v>429</v>
      </c>
      <c r="C438" s="79">
        <v>305957.03000000003</v>
      </c>
      <c r="D438" s="79">
        <v>701222.91</v>
      </c>
      <c r="F438" s="88">
        <f t="shared" si="133"/>
        <v>-395265.88</v>
      </c>
      <c r="G438" s="92">
        <f t="shared" si="134"/>
        <v>-0.56368078447408398</v>
      </c>
      <c r="H438" s="103" t="s">
        <v>238</v>
      </c>
      <c r="J438" s="73">
        <v>701222.91</v>
      </c>
      <c r="K438" s="79">
        <f t="shared" si="135"/>
        <v>0</v>
      </c>
      <c r="M438" s="131">
        <v>305957.03000000003</v>
      </c>
      <c r="N438" s="73">
        <v>701222.91</v>
      </c>
      <c r="O438" s="73">
        <f t="shared" si="136"/>
        <v>0</v>
      </c>
      <c r="P438" s="73">
        <f t="shared" si="137"/>
        <v>0</v>
      </c>
    </row>
    <row r="439" spans="1:16" ht="15" thickBot="1">
      <c r="B439" s="82" t="s">
        <v>430</v>
      </c>
      <c r="C439" s="83">
        <v>50133.34</v>
      </c>
      <c r="D439" s="83">
        <v>82614.81</v>
      </c>
      <c r="F439" s="88">
        <f t="shared" si="133"/>
        <v>-32481.47</v>
      </c>
      <c r="G439" s="92">
        <f t="shared" si="134"/>
        <v>-0.39316764149188266</v>
      </c>
      <c r="H439" s="103" t="s">
        <v>238</v>
      </c>
      <c r="J439" s="73">
        <v>82614.81</v>
      </c>
      <c r="K439" s="79">
        <f t="shared" si="135"/>
        <v>0</v>
      </c>
      <c r="M439" s="131">
        <v>50133.34</v>
      </c>
      <c r="N439" s="73">
        <v>82614.81</v>
      </c>
      <c r="O439" s="73">
        <f t="shared" si="136"/>
        <v>0</v>
      </c>
      <c r="P439" s="73">
        <f t="shared" si="137"/>
        <v>0</v>
      </c>
    </row>
    <row r="440" spans="1:16" ht="15" thickBot="1">
      <c r="B440" s="112" t="s">
        <v>190</v>
      </c>
      <c r="C440" s="85">
        <v>774646652.84000003</v>
      </c>
      <c r="D440" s="85">
        <v>806330542.74000001</v>
      </c>
    </row>
    <row r="441" spans="1:16">
      <c r="A441" s="144" t="s">
        <v>156</v>
      </c>
      <c r="B441" s="76"/>
      <c r="C441" s="113">
        <f>SUM(C430:C439)</f>
        <v>774646652.84000015</v>
      </c>
      <c r="D441" s="113">
        <f>SUM(D430:D439)</f>
        <v>806330542.73999977</v>
      </c>
    </row>
    <row r="442" spans="1:16">
      <c r="A442" s="144" t="s">
        <v>156</v>
      </c>
      <c r="B442" s="76"/>
      <c r="C442" s="113">
        <f>+C440-C441</f>
        <v>0</v>
      </c>
      <c r="D442" s="113">
        <f>+D440-D441</f>
        <v>0</v>
      </c>
    </row>
    <row r="443" spans="1:16">
      <c r="B443" s="76" t="s">
        <v>431</v>
      </c>
      <c r="C443" s="77"/>
      <c r="D443" s="77"/>
    </row>
    <row r="444" spans="1:16">
      <c r="B444" s="81" t="s">
        <v>432</v>
      </c>
      <c r="C444" s="79">
        <v>18066</v>
      </c>
      <c r="D444" s="79">
        <v>34507.019999999997</v>
      </c>
      <c r="F444" s="88">
        <f t="shared" ref="F444:F456" si="138">+C444-D444</f>
        <v>-16441.019999999997</v>
      </c>
      <c r="G444" s="92">
        <f t="shared" ref="G444:G456" si="139">+F444/D444</f>
        <v>-0.47645435624403376</v>
      </c>
      <c r="H444" s="103" t="s">
        <v>238</v>
      </c>
      <c r="J444" s="73">
        <v>34507.019999999997</v>
      </c>
      <c r="K444" s="79">
        <f t="shared" ref="K444:K456" si="140">+D444-J444</f>
        <v>0</v>
      </c>
      <c r="M444" s="131">
        <v>18066</v>
      </c>
      <c r="N444" s="73">
        <v>34507.019999999997</v>
      </c>
      <c r="O444" s="73">
        <f t="shared" ref="O444:O453" si="141">+C444-M444</f>
        <v>0</v>
      </c>
      <c r="P444" s="73">
        <f t="shared" ref="P444:P453" si="142">+D444-N444</f>
        <v>0</v>
      </c>
    </row>
    <row r="445" spans="1:16">
      <c r="B445" s="81" t="s">
        <v>433</v>
      </c>
      <c r="C445" s="79">
        <v>590450</v>
      </c>
      <c r="D445" s="79">
        <v>114700.22</v>
      </c>
      <c r="F445" s="88">
        <f t="shared" si="138"/>
        <v>475749.78</v>
      </c>
      <c r="G445" s="92">
        <f t="shared" si="139"/>
        <v>4.1477669354077964</v>
      </c>
      <c r="H445" s="103" t="s">
        <v>238</v>
      </c>
      <c r="J445" s="73">
        <v>114700.22</v>
      </c>
      <c r="K445" s="79">
        <f t="shared" si="140"/>
        <v>0</v>
      </c>
      <c r="M445" s="131">
        <v>590450</v>
      </c>
      <c r="N445" s="73">
        <v>114700.22</v>
      </c>
      <c r="O445" s="73">
        <f t="shared" si="141"/>
        <v>0</v>
      </c>
      <c r="P445" s="73">
        <f t="shared" si="142"/>
        <v>0</v>
      </c>
    </row>
    <row r="446" spans="1:16">
      <c r="B446" s="81" t="s">
        <v>434</v>
      </c>
      <c r="C446" s="79">
        <v>30495424.890000001</v>
      </c>
      <c r="D446" s="79">
        <v>22981039.219999999</v>
      </c>
      <c r="F446" s="88">
        <f t="shared" si="138"/>
        <v>7514385.6700000018</v>
      </c>
      <c r="G446" s="92">
        <f t="shared" si="139"/>
        <v>0.32698197840680604</v>
      </c>
      <c r="H446" s="103" t="s">
        <v>237</v>
      </c>
      <c r="J446" s="73">
        <v>22981039.219999999</v>
      </c>
      <c r="K446" s="79">
        <f t="shared" si="140"/>
        <v>0</v>
      </c>
      <c r="M446" s="131">
        <v>30495424.890000001</v>
      </c>
      <c r="N446" s="73">
        <v>22981039.219999999</v>
      </c>
      <c r="O446" s="73">
        <f t="shared" si="141"/>
        <v>0</v>
      </c>
      <c r="P446" s="73">
        <f t="shared" si="142"/>
        <v>0</v>
      </c>
    </row>
    <row r="447" spans="1:16">
      <c r="B447" s="81" t="s">
        <v>435</v>
      </c>
      <c r="C447" s="79">
        <v>4009070</v>
      </c>
      <c r="D447" s="79">
        <v>2425435</v>
      </c>
      <c r="F447" s="88">
        <f t="shared" si="138"/>
        <v>1583635</v>
      </c>
      <c r="G447" s="92">
        <f t="shared" si="139"/>
        <v>0.65292823761510821</v>
      </c>
      <c r="H447" s="103" t="s">
        <v>237</v>
      </c>
      <c r="J447" s="73">
        <v>2425435</v>
      </c>
      <c r="K447" s="79">
        <f t="shared" si="140"/>
        <v>0</v>
      </c>
      <c r="M447" s="131">
        <v>4009070</v>
      </c>
      <c r="N447" s="73">
        <v>2425435</v>
      </c>
      <c r="O447" s="73">
        <f t="shared" si="141"/>
        <v>0</v>
      </c>
      <c r="P447" s="73">
        <f t="shared" si="142"/>
        <v>0</v>
      </c>
    </row>
    <row r="448" spans="1:16">
      <c r="B448" s="81" t="s">
        <v>436</v>
      </c>
      <c r="C448" s="79">
        <v>101674708.56</v>
      </c>
      <c r="D448" s="79">
        <v>115548539.48999999</v>
      </c>
      <c r="F448" s="88">
        <f t="shared" si="138"/>
        <v>-13873830.929999992</v>
      </c>
      <c r="G448" s="92">
        <f t="shared" si="139"/>
        <v>-0.12006928855384352</v>
      </c>
      <c r="J448" s="73">
        <v>115548539.48999999</v>
      </c>
      <c r="K448" s="79">
        <f t="shared" si="140"/>
        <v>0</v>
      </c>
      <c r="M448" s="131">
        <v>101674708.56</v>
      </c>
      <c r="N448" s="73">
        <v>115548539.48999999</v>
      </c>
      <c r="O448" s="73">
        <f t="shared" si="141"/>
        <v>0</v>
      </c>
      <c r="P448" s="73">
        <f t="shared" si="142"/>
        <v>0</v>
      </c>
    </row>
    <row r="449" spans="1:16">
      <c r="B449" s="81" t="s">
        <v>437</v>
      </c>
      <c r="C449" s="79">
        <v>78038425.269999996</v>
      </c>
      <c r="D449" s="79">
        <v>79649749.25</v>
      </c>
      <c r="F449" s="88">
        <f t="shared" si="138"/>
        <v>-1611323.9800000042</v>
      </c>
      <c r="G449" s="92">
        <f t="shared" si="139"/>
        <v>-2.0230119933491244E-2</v>
      </c>
      <c r="J449" s="73">
        <v>79649749.25</v>
      </c>
      <c r="K449" s="79">
        <f t="shared" si="140"/>
        <v>0</v>
      </c>
      <c r="M449" s="131">
        <v>78038425.269999996</v>
      </c>
      <c r="N449" s="73">
        <v>79649749.25</v>
      </c>
      <c r="O449" s="73">
        <f t="shared" si="141"/>
        <v>0</v>
      </c>
      <c r="P449" s="73">
        <f t="shared" si="142"/>
        <v>0</v>
      </c>
    </row>
    <row r="450" spans="1:16" ht="27.6">
      <c r="B450" s="81" t="s">
        <v>438</v>
      </c>
      <c r="C450" s="79">
        <v>31120989.620000001</v>
      </c>
      <c r="D450" s="79">
        <v>33127172.18</v>
      </c>
      <c r="F450" s="88">
        <f t="shared" si="138"/>
        <v>-2006182.5599999987</v>
      </c>
      <c r="G450" s="92">
        <f t="shared" si="139"/>
        <v>-6.0560030572461579E-2</v>
      </c>
      <c r="J450" s="73">
        <v>33127172.18</v>
      </c>
      <c r="K450" s="79">
        <f t="shared" si="140"/>
        <v>0</v>
      </c>
      <c r="M450" s="131">
        <v>31120989.620000001</v>
      </c>
      <c r="N450" s="73">
        <v>33127172.18</v>
      </c>
      <c r="O450" s="73">
        <f t="shared" si="141"/>
        <v>0</v>
      </c>
      <c r="P450" s="73">
        <f t="shared" si="142"/>
        <v>0</v>
      </c>
    </row>
    <row r="451" spans="1:16" ht="27.6">
      <c r="B451" s="81" t="s">
        <v>439</v>
      </c>
      <c r="C451" s="79">
        <v>17641237</v>
      </c>
      <c r="D451" s="79">
        <v>17924149.219999999</v>
      </c>
      <c r="F451" s="88">
        <f t="shared" si="138"/>
        <v>-282912.21999999881</v>
      </c>
      <c r="G451" s="92">
        <f t="shared" si="139"/>
        <v>-1.5783857661948144E-2</v>
      </c>
      <c r="J451" s="73">
        <v>17924149.219999999</v>
      </c>
      <c r="K451" s="79">
        <f t="shared" si="140"/>
        <v>0</v>
      </c>
      <c r="M451" s="131">
        <v>17641237</v>
      </c>
      <c r="N451" s="73">
        <v>17924149.219999999</v>
      </c>
      <c r="O451" s="73">
        <f t="shared" si="141"/>
        <v>0</v>
      </c>
      <c r="P451" s="73">
        <f t="shared" si="142"/>
        <v>0</v>
      </c>
    </row>
    <row r="452" spans="1:16" ht="27.6">
      <c r="B452" s="81" t="s">
        <v>440</v>
      </c>
      <c r="C452" s="79">
        <v>171262.67</v>
      </c>
      <c r="D452" s="79">
        <v>30300</v>
      </c>
      <c r="F452" s="88">
        <f t="shared" si="138"/>
        <v>140962.67000000001</v>
      </c>
      <c r="G452" s="92">
        <f t="shared" si="139"/>
        <v>4.6522333333333341</v>
      </c>
      <c r="H452" s="103" t="s">
        <v>238</v>
      </c>
      <c r="J452" s="73">
        <v>30300</v>
      </c>
      <c r="K452" s="79">
        <f t="shared" si="140"/>
        <v>0</v>
      </c>
      <c r="M452" s="131">
        <v>171262.67</v>
      </c>
      <c r="N452" s="73">
        <v>30300</v>
      </c>
      <c r="O452" s="73">
        <f t="shared" si="141"/>
        <v>0</v>
      </c>
      <c r="P452" s="73">
        <f t="shared" si="142"/>
        <v>0</v>
      </c>
    </row>
    <row r="453" spans="1:16">
      <c r="B453" s="81" t="s">
        <v>441</v>
      </c>
      <c r="C453" s="79">
        <v>140197946.09</v>
      </c>
      <c r="D453" s="79">
        <v>142777340.36000001</v>
      </c>
      <c r="F453" s="88">
        <f t="shared" si="138"/>
        <v>-2579394.2700000107</v>
      </c>
      <c r="G453" s="92">
        <f t="shared" si="139"/>
        <v>-1.8065851790601394E-2</v>
      </c>
      <c r="J453" s="73">
        <v>142777340.36000001</v>
      </c>
      <c r="K453" s="79">
        <f t="shared" si="140"/>
        <v>0</v>
      </c>
      <c r="M453" s="131">
        <v>140197946.09</v>
      </c>
      <c r="N453" s="73">
        <v>142777340.36000001</v>
      </c>
      <c r="O453" s="73">
        <f t="shared" si="141"/>
        <v>0</v>
      </c>
      <c r="P453" s="73">
        <f t="shared" si="142"/>
        <v>0</v>
      </c>
    </row>
    <row r="454" spans="1:16">
      <c r="B454" s="81" t="s">
        <v>442</v>
      </c>
      <c r="C454" s="79">
        <v>382238430.24000001</v>
      </c>
      <c r="D454" s="79">
        <v>2211178</v>
      </c>
      <c r="F454" s="88">
        <f t="shared" si="138"/>
        <v>380027252.24000001</v>
      </c>
      <c r="G454" s="92">
        <f t="shared" si="139"/>
        <v>171.86642244088898</v>
      </c>
      <c r="H454" s="103" t="s">
        <v>237</v>
      </c>
      <c r="J454" s="73">
        <v>443740616.14999998</v>
      </c>
      <c r="K454" s="79">
        <f t="shared" si="140"/>
        <v>-441529438.14999998</v>
      </c>
      <c r="M454" s="131">
        <v>382238430.24000001</v>
      </c>
      <c r="N454" s="73">
        <v>2211178</v>
      </c>
      <c r="O454" s="73">
        <f t="shared" ref="O454:O456" si="143">+C454-M454</f>
        <v>0</v>
      </c>
      <c r="P454" s="73">
        <f t="shared" ref="P454:P456" si="144">+D454-N454</f>
        <v>0</v>
      </c>
    </row>
    <row r="455" spans="1:16">
      <c r="B455" s="81" t="s">
        <v>443</v>
      </c>
      <c r="C455" s="79">
        <v>32732263.68</v>
      </c>
      <c r="D455" s="79">
        <v>47029822.75</v>
      </c>
      <c r="F455" s="88">
        <f t="shared" si="138"/>
        <v>-14297559.07</v>
      </c>
      <c r="G455" s="92">
        <f t="shared" si="139"/>
        <v>-0.30401048173204098</v>
      </c>
      <c r="H455" s="103" t="s">
        <v>237</v>
      </c>
      <c r="J455" s="73">
        <v>47029822.75</v>
      </c>
      <c r="K455" s="79">
        <f t="shared" si="140"/>
        <v>0</v>
      </c>
      <c r="M455" s="131">
        <v>32732263.68</v>
      </c>
      <c r="N455" s="73">
        <v>47029822.75</v>
      </c>
      <c r="O455" s="73">
        <f t="shared" si="143"/>
        <v>0</v>
      </c>
      <c r="P455" s="73">
        <f t="shared" si="144"/>
        <v>0</v>
      </c>
    </row>
    <row r="456" spans="1:16" ht="15" thickBot="1">
      <c r="B456" s="82" t="s">
        <v>444</v>
      </c>
      <c r="C456" s="83">
        <v>43901155.93</v>
      </c>
      <c r="D456" s="83">
        <v>7918346.3499999996</v>
      </c>
      <c r="F456" s="88">
        <f t="shared" si="138"/>
        <v>35982809.579999998</v>
      </c>
      <c r="G456" s="92">
        <f t="shared" si="139"/>
        <v>4.5442328473040332</v>
      </c>
      <c r="H456" s="103" t="s">
        <v>237</v>
      </c>
      <c r="J456" s="73">
        <v>7918346.3499999996</v>
      </c>
      <c r="K456" s="79">
        <f t="shared" si="140"/>
        <v>0</v>
      </c>
      <c r="M456" s="131">
        <v>43901155.93</v>
      </c>
      <c r="N456" s="73">
        <v>7918346.3499999996</v>
      </c>
      <c r="O456" s="73">
        <f t="shared" si="143"/>
        <v>0</v>
      </c>
      <c r="P456" s="73">
        <f t="shared" si="144"/>
        <v>0</v>
      </c>
    </row>
    <row r="457" spans="1:16" ht="15" thickBot="1">
      <c r="B457" s="112" t="s">
        <v>190</v>
      </c>
      <c r="C457" s="85">
        <v>862829429.95000005</v>
      </c>
      <c r="D457" s="85">
        <v>471772279.06</v>
      </c>
      <c r="K457" s="79"/>
    </row>
    <row r="458" spans="1:16">
      <c r="A458" s="144" t="s">
        <v>156</v>
      </c>
      <c r="B458" s="114"/>
      <c r="C458" s="113">
        <f>SUM(C444:C456)</f>
        <v>862829429.94999981</v>
      </c>
      <c r="D458" s="113">
        <f>SUM(D444:D456)</f>
        <v>471772279.06000006</v>
      </c>
    </row>
    <row r="459" spans="1:16" ht="15" thickBot="1">
      <c r="A459" s="144" t="s">
        <v>156</v>
      </c>
      <c r="B459" s="112"/>
      <c r="C459" s="85">
        <f>+C457-C458</f>
        <v>0</v>
      </c>
      <c r="D459" s="85">
        <f>+D457-D458</f>
        <v>0</v>
      </c>
    </row>
    <row r="460" spans="1:16" ht="15" thickBot="1">
      <c r="B460" s="84" t="s">
        <v>35</v>
      </c>
      <c r="C460" s="85">
        <v>1637476082.79</v>
      </c>
      <c r="D460" s="85">
        <v>1278102821.8</v>
      </c>
      <c r="M460" s="131">
        <f>SUM(M430:M459)</f>
        <v>1637476082.7900002</v>
      </c>
      <c r="N460" s="131">
        <f>SUM(N430:N459)</f>
        <v>1278102821.7999997</v>
      </c>
      <c r="O460" s="73">
        <f t="shared" ref="O460" si="145">+C460-M460</f>
        <v>0</v>
      </c>
      <c r="P460" s="73">
        <f t="shared" ref="P460" si="146">+D460-N460</f>
        <v>0</v>
      </c>
    </row>
    <row r="461" spans="1:16">
      <c r="B461" s="96" t="s">
        <v>156</v>
      </c>
      <c r="C461" s="73">
        <f>+C441+C458</f>
        <v>1637476082.79</v>
      </c>
      <c r="D461" s="73">
        <f>+D441+D458</f>
        <v>1278102821.7999997</v>
      </c>
    </row>
    <row r="462" spans="1:16">
      <c r="B462" s="96" t="s">
        <v>156</v>
      </c>
      <c r="C462" s="73">
        <f>+C460-C461</f>
        <v>0</v>
      </c>
      <c r="D462" s="73">
        <f>+D460-D461</f>
        <v>0</v>
      </c>
    </row>
    <row r="463" spans="1:16">
      <c r="B463" s="108" t="s">
        <v>168</v>
      </c>
      <c r="C463" s="73">
        <f>+M460</f>
        <v>1637476082.7900002</v>
      </c>
      <c r="D463" s="73">
        <f>+N460</f>
        <v>1278102821.7999997</v>
      </c>
    </row>
    <row r="464" spans="1:16">
      <c r="B464" s="108" t="s">
        <v>168</v>
      </c>
      <c r="C464" s="73">
        <f>+C460-C463</f>
        <v>0</v>
      </c>
      <c r="D464" s="73">
        <f>+D460-D463</f>
        <v>0</v>
      </c>
    </row>
    <row r="466" spans="1:16" ht="15" thickBot="1">
      <c r="A466" s="175" t="s">
        <v>457</v>
      </c>
    </row>
    <row r="467" spans="1:16" ht="15" thickBot="1">
      <c r="B467" s="75" t="s">
        <v>276</v>
      </c>
      <c r="C467" s="75">
        <v>2022</v>
      </c>
      <c r="D467" s="75">
        <v>2021</v>
      </c>
    </row>
    <row r="468" spans="1:16" ht="15" thickBot="1">
      <c r="B468" s="98" t="s">
        <v>458</v>
      </c>
      <c r="C468" s="83">
        <v>28178905.449999999</v>
      </c>
      <c r="D468" s="99">
        <v>0</v>
      </c>
      <c r="F468" s="88">
        <f t="shared" ref="F468" si="147">+C468-D468</f>
        <v>28178905.449999999</v>
      </c>
      <c r="G468" s="92" t="e">
        <f t="shared" ref="G468" si="148">+F468/D468</f>
        <v>#DIV/0!</v>
      </c>
      <c r="H468" s="103" t="s">
        <v>237</v>
      </c>
      <c r="J468">
        <v>0</v>
      </c>
      <c r="K468" s="79">
        <f t="shared" ref="K468" si="149">+D468-J468</f>
        <v>0</v>
      </c>
      <c r="M468" s="131">
        <v>28178905.449999999</v>
      </c>
      <c r="N468">
        <v>0</v>
      </c>
      <c r="O468" s="73">
        <f t="shared" ref="O468:P468" si="150">+C468-M468</f>
        <v>0</v>
      </c>
      <c r="P468" s="73">
        <f t="shared" si="150"/>
        <v>0</v>
      </c>
    </row>
    <row r="469" spans="1:16" ht="15" thickBot="1">
      <c r="B469" s="84" t="s">
        <v>35</v>
      </c>
      <c r="C469" s="85">
        <v>28178905.449999999</v>
      </c>
      <c r="D469" s="171">
        <v>0</v>
      </c>
    </row>
    <row r="470" spans="1:16">
      <c r="B470" s="96" t="s">
        <v>156</v>
      </c>
      <c r="C470" s="73">
        <f>C468</f>
        <v>28178905.449999999</v>
      </c>
      <c r="D470" s="73">
        <f>D468</f>
        <v>0</v>
      </c>
    </row>
    <row r="471" spans="1:16">
      <c r="B471" s="96" t="s">
        <v>156</v>
      </c>
      <c r="C471" s="73">
        <f>+C469-C470</f>
        <v>0</v>
      </c>
      <c r="D471" s="73">
        <f>+D469-D470</f>
        <v>0</v>
      </c>
    </row>
    <row r="472" spans="1:16">
      <c r="B472" s="108" t="s">
        <v>168</v>
      </c>
      <c r="C472" s="73">
        <f>+M468</f>
        <v>28178905.449999999</v>
      </c>
      <c r="D472" s="73">
        <f>+N468</f>
        <v>0</v>
      </c>
    </row>
    <row r="473" spans="1:16">
      <c r="B473" s="108" t="s">
        <v>168</v>
      </c>
      <c r="C473" s="73">
        <f>+C469-C472</f>
        <v>0</v>
      </c>
      <c r="D473" s="73">
        <f>+D469-D472</f>
        <v>0</v>
      </c>
    </row>
    <row r="475" spans="1:16" ht="15" thickBot="1">
      <c r="A475" s="175" t="s">
        <v>459</v>
      </c>
    </row>
    <row r="476" spans="1:16" ht="15" thickBot="1">
      <c r="B476" s="75" t="s">
        <v>276</v>
      </c>
      <c r="C476" s="75">
        <v>2022</v>
      </c>
      <c r="D476" s="75">
        <v>2021</v>
      </c>
    </row>
    <row r="477" spans="1:16" ht="15" thickBot="1">
      <c r="B477" s="98" t="s">
        <v>460</v>
      </c>
      <c r="C477" s="170">
        <v>217442602.38999999</v>
      </c>
      <c r="D477" s="83">
        <v>330472512.69999999</v>
      </c>
      <c r="F477" s="88">
        <f t="shared" ref="F477" si="151">+C477-D477</f>
        <v>-113029910.31</v>
      </c>
      <c r="G477" s="92">
        <f t="shared" ref="G477" si="152">+F477/D477</f>
        <v>-0.34202514873788475</v>
      </c>
      <c r="H477" s="103" t="s">
        <v>237</v>
      </c>
      <c r="J477" s="73">
        <v>330472512.69999999</v>
      </c>
      <c r="K477" s="79">
        <f t="shared" ref="K477" si="153">+D477-J477</f>
        <v>0</v>
      </c>
      <c r="M477" s="131">
        <v>134578729.49000001</v>
      </c>
      <c r="N477" s="73">
        <v>330472512.69999999</v>
      </c>
      <c r="O477" s="73">
        <f t="shared" ref="O477:P477" si="154">+C477-M477</f>
        <v>82863872.899999976</v>
      </c>
      <c r="P477" s="73">
        <f t="shared" si="154"/>
        <v>0</v>
      </c>
    </row>
    <row r="478" spans="1:16" ht="15" thickBot="1">
      <c r="B478" s="84" t="s">
        <v>35</v>
      </c>
      <c r="C478" s="85">
        <v>217442602.38999999</v>
      </c>
      <c r="D478" s="85">
        <v>330472512.69999999</v>
      </c>
    </row>
    <row r="479" spans="1:16">
      <c r="B479" s="96" t="s">
        <v>156</v>
      </c>
      <c r="C479" s="73">
        <f>C477</f>
        <v>217442602.38999999</v>
      </c>
      <c r="D479" s="73">
        <f>D477</f>
        <v>330472512.69999999</v>
      </c>
    </row>
    <row r="480" spans="1:16">
      <c r="B480" s="96" t="s">
        <v>156</v>
      </c>
      <c r="C480" s="73">
        <f>+C478-C479</f>
        <v>0</v>
      </c>
      <c r="D480" s="73">
        <f>+D478-D479</f>
        <v>0</v>
      </c>
    </row>
    <row r="481" spans="1:16">
      <c r="B481" s="108" t="s">
        <v>168</v>
      </c>
      <c r="C481" s="73">
        <f>+M477</f>
        <v>134578729.49000001</v>
      </c>
      <c r="D481" s="73">
        <f>+N477</f>
        <v>330472512.69999999</v>
      </c>
    </row>
    <row r="482" spans="1:16">
      <c r="B482" s="108" t="s">
        <v>168</v>
      </c>
      <c r="C482" s="154">
        <f>+C478-C481</f>
        <v>82863872.899999976</v>
      </c>
      <c r="D482" s="73">
        <f>+D478-D481</f>
        <v>0</v>
      </c>
    </row>
    <row r="484" spans="1:16" ht="15" thickBot="1">
      <c r="A484" s="175" t="s">
        <v>461</v>
      </c>
    </row>
    <row r="485" spans="1:16" ht="15" thickBot="1">
      <c r="B485" s="75" t="s">
        <v>144</v>
      </c>
      <c r="C485" s="75">
        <v>2022</v>
      </c>
      <c r="D485" s="75">
        <v>2021</v>
      </c>
    </row>
    <row r="486" spans="1:16" ht="15" thickBot="1">
      <c r="B486" s="98" t="s">
        <v>462</v>
      </c>
      <c r="C486" s="170">
        <v>4921062.93</v>
      </c>
      <c r="D486" s="83">
        <v>1401157654.1700001</v>
      </c>
      <c r="F486" s="88">
        <f t="shared" ref="F486" si="155">+C486-D486</f>
        <v>-1396236591.24</v>
      </c>
      <c r="G486" s="92">
        <f t="shared" ref="G486" si="156">+F486/D486</f>
        <v>-0.99648785922458161</v>
      </c>
      <c r="H486" s="103" t="s">
        <v>237</v>
      </c>
      <c r="J486" s="73">
        <v>1401157654.1700001</v>
      </c>
      <c r="K486" s="79">
        <f t="shared" ref="K486" si="157">+D486-J486</f>
        <v>0</v>
      </c>
      <c r="M486" s="131">
        <v>4921063.93</v>
      </c>
      <c r="N486" s="73">
        <v>1401157654.1700001</v>
      </c>
      <c r="O486" s="73">
        <f t="shared" ref="O486" si="158">+C486-M486</f>
        <v>-1</v>
      </c>
      <c r="P486" s="73">
        <f t="shared" ref="P486" si="159">+D486-N486</f>
        <v>0</v>
      </c>
    </row>
    <row r="487" spans="1:16" ht="15" thickBot="1">
      <c r="B487" s="84" t="s">
        <v>35</v>
      </c>
      <c r="C487" s="85">
        <v>4921062.93</v>
      </c>
      <c r="D487" s="85">
        <v>1401157654.1700001</v>
      </c>
    </row>
    <row r="488" spans="1:16">
      <c r="B488" s="96" t="s">
        <v>156</v>
      </c>
      <c r="C488" s="73">
        <f>C486</f>
        <v>4921062.93</v>
      </c>
      <c r="D488" s="73">
        <f>D486</f>
        <v>1401157654.1700001</v>
      </c>
    </row>
    <row r="489" spans="1:16">
      <c r="B489" s="96" t="s">
        <v>156</v>
      </c>
      <c r="C489" s="73">
        <f>+C487-C488</f>
        <v>0</v>
      </c>
      <c r="D489" s="73">
        <f>+D487-D488</f>
        <v>0</v>
      </c>
    </row>
    <row r="490" spans="1:16">
      <c r="B490" s="108" t="s">
        <v>168</v>
      </c>
      <c r="C490" s="73">
        <f>+M486</f>
        <v>4921063.93</v>
      </c>
      <c r="D490" s="73">
        <f>+N486</f>
        <v>1401157654.1700001</v>
      </c>
    </row>
    <row r="491" spans="1:16">
      <c r="B491" s="108" t="s">
        <v>168</v>
      </c>
      <c r="C491" s="154">
        <f>+C487-C490</f>
        <v>-1</v>
      </c>
      <c r="D491" s="73">
        <f>+D487-D490</f>
        <v>0</v>
      </c>
    </row>
    <row r="493" spans="1:16" ht="15" thickBot="1">
      <c r="A493" s="175" t="s">
        <v>463</v>
      </c>
    </row>
    <row r="494" spans="1:16" ht="15" thickBot="1">
      <c r="B494" s="75" t="s">
        <v>276</v>
      </c>
      <c r="C494" s="183">
        <v>2022</v>
      </c>
      <c r="D494" s="75">
        <v>2021</v>
      </c>
    </row>
    <row r="495" spans="1:16" ht="15" thickBot="1">
      <c r="B495" s="98" t="s">
        <v>34</v>
      </c>
      <c r="C495" s="213">
        <v>182297445.56999999</v>
      </c>
      <c r="D495" s="83">
        <v>16714676.01</v>
      </c>
      <c r="F495" s="88">
        <f t="shared" ref="F495" si="160">+C495-D495</f>
        <v>165582769.56</v>
      </c>
      <c r="G495" s="92">
        <f t="shared" ref="G495" si="161">+F495/D495</f>
        <v>9.9064301013633589</v>
      </c>
      <c r="H495" s="103" t="s">
        <v>237</v>
      </c>
      <c r="J495" s="73">
        <v>16714676.01</v>
      </c>
      <c r="K495" s="79">
        <f t="shared" ref="K495" si="162">+D495-J495</f>
        <v>0</v>
      </c>
      <c r="M495" s="131">
        <v>182297444.56</v>
      </c>
      <c r="N495" s="73">
        <v>16714676.01</v>
      </c>
      <c r="O495" s="73">
        <f t="shared" ref="O495" si="163">+C495-M495</f>
        <v>1.0099999904632568</v>
      </c>
      <c r="P495" s="73">
        <f t="shared" ref="P495" si="164">+D495-N495</f>
        <v>0</v>
      </c>
    </row>
    <row r="496" spans="1:16" ht="15" thickBot="1">
      <c r="B496" s="84" t="s">
        <v>35</v>
      </c>
      <c r="C496" s="213">
        <v>182297445.56999999</v>
      </c>
      <c r="D496" s="85">
        <v>16714676.01</v>
      </c>
    </row>
    <row r="497" spans="1:16">
      <c r="B497" s="96" t="s">
        <v>156</v>
      </c>
      <c r="C497" s="73">
        <f>C495</f>
        <v>182297445.56999999</v>
      </c>
      <c r="D497" s="73">
        <f>D495</f>
        <v>16714676.01</v>
      </c>
    </row>
    <row r="498" spans="1:16">
      <c r="B498" s="96" t="s">
        <v>156</v>
      </c>
      <c r="C498" s="73">
        <f>+C496-C497</f>
        <v>0</v>
      </c>
      <c r="D498" s="73">
        <f>+D496-D497</f>
        <v>0</v>
      </c>
    </row>
    <row r="499" spans="1:16">
      <c r="B499" s="108" t="s">
        <v>168</v>
      </c>
      <c r="C499" s="73">
        <f>+M495</f>
        <v>182297444.56</v>
      </c>
      <c r="D499" s="73">
        <f>+N495</f>
        <v>16714676.01</v>
      </c>
    </row>
    <row r="500" spans="1:16">
      <c r="B500" s="108" t="s">
        <v>168</v>
      </c>
      <c r="C500" s="73">
        <f>+C496-C499</f>
        <v>1.0099999904632568</v>
      </c>
      <c r="D500" s="73">
        <f>+D496-D499</f>
        <v>0</v>
      </c>
    </row>
    <row r="502" spans="1:16" ht="15" thickBot="1">
      <c r="A502" s="175" t="s">
        <v>464</v>
      </c>
    </row>
    <row r="503" spans="1:16" ht="15" thickBot="1">
      <c r="B503" s="75" t="s">
        <v>144</v>
      </c>
      <c r="C503" s="75">
        <v>2022</v>
      </c>
      <c r="D503" s="75">
        <v>2021</v>
      </c>
    </row>
    <row r="504" spans="1:16">
      <c r="B504" s="76" t="s">
        <v>465</v>
      </c>
      <c r="C504" s="77"/>
      <c r="D504" s="77"/>
    </row>
    <row r="505" spans="1:16">
      <c r="B505" s="81" t="s">
        <v>466</v>
      </c>
      <c r="C505" s="79">
        <v>3277409889.7399998</v>
      </c>
      <c r="D505" s="79">
        <v>3223396018.8899999</v>
      </c>
      <c r="F505" s="88">
        <f t="shared" ref="F505" si="165">+C505-D505</f>
        <v>54013870.849999905</v>
      </c>
      <c r="G505" s="92">
        <f t="shared" ref="G505" si="166">+F505/D505</f>
        <v>1.6756821232471453E-2</v>
      </c>
      <c r="J505" s="73">
        <v>3219359207.3600001</v>
      </c>
      <c r="K505" s="79">
        <f t="shared" ref="K505:K535" si="167">+D505-J505</f>
        <v>4036811.529999733</v>
      </c>
      <c r="M505" s="131">
        <v>3277409889.7399998</v>
      </c>
      <c r="N505" s="73">
        <v>3223396018.8899999</v>
      </c>
      <c r="O505" s="73">
        <f t="shared" ref="O505" si="168">+C505-M505</f>
        <v>0</v>
      </c>
      <c r="P505" s="73">
        <f t="shared" ref="P505" si="169">+D505-N505</f>
        <v>0</v>
      </c>
    </row>
    <row r="506" spans="1:16">
      <c r="B506" s="438" t="s">
        <v>467</v>
      </c>
      <c r="C506" s="77" t="s">
        <v>468</v>
      </c>
      <c r="D506" s="77" t="s">
        <v>468</v>
      </c>
      <c r="J506" s="73"/>
      <c r="K506" s="79"/>
      <c r="M506" s="131"/>
      <c r="N506" s="73"/>
      <c r="O506" s="73"/>
      <c r="P506" s="73"/>
    </row>
    <row r="507" spans="1:16" ht="15" thickBot="1">
      <c r="B507" s="439"/>
      <c r="C507" s="83">
        <v>853177.55</v>
      </c>
      <c r="D507" s="83">
        <v>926946</v>
      </c>
      <c r="F507" s="88">
        <f t="shared" ref="F507" si="170">+C507-D507</f>
        <v>-73768.449999999953</v>
      </c>
      <c r="G507" s="92">
        <f t="shared" ref="G507" si="171">+F507/D507</f>
        <v>-7.9582251824809588E-2</v>
      </c>
      <c r="J507" s="73">
        <v>926946</v>
      </c>
      <c r="K507" s="79">
        <f t="shared" ref="K507:K508" si="172">+D507-J507</f>
        <v>0</v>
      </c>
      <c r="M507" s="131">
        <v>853177.55</v>
      </c>
      <c r="N507" s="73">
        <v>926946</v>
      </c>
      <c r="O507" s="73">
        <f t="shared" ref="O507" si="173">+C507-M507</f>
        <v>0</v>
      </c>
      <c r="P507" s="73">
        <f t="shared" ref="P507" si="174">+D507-N507</f>
        <v>0</v>
      </c>
    </row>
    <row r="508" spans="1:16" ht="15" thickBot="1">
      <c r="B508" s="112" t="s">
        <v>190</v>
      </c>
      <c r="C508" s="85">
        <v>3278263067.29</v>
      </c>
      <c r="D508" s="85">
        <v>3224322964.8899999</v>
      </c>
      <c r="J508" s="73">
        <v>3220286153.3600001</v>
      </c>
      <c r="K508" s="79">
        <f t="shared" si="172"/>
        <v>4036811.529999733</v>
      </c>
    </row>
    <row r="509" spans="1:16">
      <c r="B509" s="76" t="s">
        <v>469</v>
      </c>
      <c r="C509" s="77"/>
      <c r="D509" s="77"/>
      <c r="K509" s="79">
        <f t="shared" si="167"/>
        <v>0</v>
      </c>
    </row>
    <row r="510" spans="1:16" ht="27.6">
      <c r="B510" s="81" t="s">
        <v>470</v>
      </c>
      <c r="C510" s="79">
        <v>216426499.12</v>
      </c>
      <c r="D510" s="79">
        <v>220345935.84999999</v>
      </c>
      <c r="F510" s="88">
        <f t="shared" ref="F510:F523" si="175">+C510-D510</f>
        <v>-3919436.7299999893</v>
      </c>
      <c r="G510" s="92">
        <f t="shared" ref="G510:G523" si="176">+F510/D510</f>
        <v>-1.7787651561988131E-2</v>
      </c>
      <c r="J510" s="73">
        <v>220359228.94999999</v>
      </c>
      <c r="K510" s="79">
        <f t="shared" si="167"/>
        <v>-13293.09999999404</v>
      </c>
      <c r="M510" s="131">
        <v>216426499.12</v>
      </c>
      <c r="N510" s="73">
        <v>220345935.84999999</v>
      </c>
      <c r="O510" s="73">
        <f t="shared" ref="O510:O523" si="177">+C510-M510</f>
        <v>0</v>
      </c>
      <c r="P510" s="73">
        <f t="shared" ref="P510:P523" si="178">+D510-N510</f>
        <v>0</v>
      </c>
    </row>
    <row r="511" spans="1:16">
      <c r="B511" s="81" t="s">
        <v>471</v>
      </c>
      <c r="C511" s="79">
        <v>24902001.379999999</v>
      </c>
      <c r="D511" s="79">
        <v>25946639.329999998</v>
      </c>
      <c r="F511" s="88">
        <f t="shared" si="175"/>
        <v>-1044637.9499999993</v>
      </c>
      <c r="G511" s="92">
        <f t="shared" si="176"/>
        <v>-4.026101171384338E-2</v>
      </c>
      <c r="J511" s="73">
        <v>25946639.329999998</v>
      </c>
      <c r="K511" s="79">
        <f t="shared" si="167"/>
        <v>0</v>
      </c>
      <c r="M511" s="131">
        <v>24902001.379999999</v>
      </c>
      <c r="N511" s="73">
        <v>25946639.329999998</v>
      </c>
      <c r="O511" s="73">
        <f t="shared" si="177"/>
        <v>0</v>
      </c>
      <c r="P511" s="73">
        <f t="shared" si="178"/>
        <v>0</v>
      </c>
    </row>
    <row r="512" spans="1:16">
      <c r="B512" s="81" t="s">
        <v>472</v>
      </c>
      <c r="C512" s="79">
        <v>24044266.57</v>
      </c>
      <c r="D512" s="79">
        <v>24995192.440000001</v>
      </c>
      <c r="F512" s="88">
        <f t="shared" si="175"/>
        <v>-950925.87000000104</v>
      </c>
      <c r="G512" s="92">
        <f t="shared" si="176"/>
        <v>-3.804435081996916E-2</v>
      </c>
      <c r="J512" s="73">
        <v>24995192.440000001</v>
      </c>
      <c r="K512" s="79">
        <f t="shared" si="167"/>
        <v>0</v>
      </c>
      <c r="M512" s="131">
        <v>24044266.57</v>
      </c>
      <c r="N512" s="73">
        <v>24995192.440000001</v>
      </c>
      <c r="O512" s="73">
        <f t="shared" si="177"/>
        <v>0</v>
      </c>
      <c r="P512" s="73">
        <f t="shared" si="178"/>
        <v>0</v>
      </c>
    </row>
    <row r="513" spans="2:16">
      <c r="B513" s="81" t="s">
        <v>473</v>
      </c>
      <c r="C513" s="79">
        <v>54552000</v>
      </c>
      <c r="D513" s="79">
        <v>67589357.5</v>
      </c>
      <c r="F513" s="88">
        <f t="shared" si="175"/>
        <v>-13037357.5</v>
      </c>
      <c r="G513" s="92">
        <f t="shared" si="176"/>
        <v>-0.19289068548994567</v>
      </c>
      <c r="J513" s="73">
        <v>68249357.5</v>
      </c>
      <c r="K513" s="79">
        <f t="shared" si="167"/>
        <v>-660000</v>
      </c>
      <c r="M513" s="131">
        <v>54552000</v>
      </c>
      <c r="N513" s="73">
        <v>67589357.5</v>
      </c>
      <c r="O513" s="73">
        <f t="shared" si="177"/>
        <v>0</v>
      </c>
      <c r="P513" s="73">
        <f t="shared" si="178"/>
        <v>0</v>
      </c>
    </row>
    <row r="514" spans="2:16">
      <c r="B514" s="81" t="s">
        <v>474</v>
      </c>
      <c r="C514" s="79">
        <v>23666430</v>
      </c>
      <c r="D514" s="79">
        <v>23832135</v>
      </c>
      <c r="F514" s="88">
        <f t="shared" si="175"/>
        <v>-165705</v>
      </c>
      <c r="G514" s="92">
        <f t="shared" si="176"/>
        <v>-6.953006937901283E-3</v>
      </c>
      <c r="J514" s="73">
        <v>23832135</v>
      </c>
      <c r="K514" s="79">
        <f t="shared" si="167"/>
        <v>0</v>
      </c>
      <c r="M514" s="131">
        <v>23666430</v>
      </c>
      <c r="N514" s="73">
        <v>23832135</v>
      </c>
      <c r="O514" s="73">
        <f t="shared" si="177"/>
        <v>0</v>
      </c>
      <c r="P514" s="73">
        <f t="shared" si="178"/>
        <v>0</v>
      </c>
    </row>
    <row r="515" spans="2:16">
      <c r="B515" s="81" t="s">
        <v>475</v>
      </c>
      <c r="C515" s="79">
        <v>5232157.6500000004</v>
      </c>
      <c r="D515" s="79">
        <v>5165670.46</v>
      </c>
      <c r="F515" s="88">
        <f t="shared" si="175"/>
        <v>66487.19000000041</v>
      </c>
      <c r="G515" s="92">
        <f t="shared" si="176"/>
        <v>1.2870970092815485E-2</v>
      </c>
      <c r="J515" s="73">
        <v>5165670.46</v>
      </c>
      <c r="K515" s="79">
        <f t="shared" si="167"/>
        <v>0</v>
      </c>
      <c r="M515" s="131">
        <v>5232157.6500000004</v>
      </c>
      <c r="N515" s="73">
        <v>5165670.46</v>
      </c>
      <c r="O515" s="73">
        <f t="shared" si="177"/>
        <v>0</v>
      </c>
      <c r="P515" s="73">
        <f t="shared" si="178"/>
        <v>0</v>
      </c>
    </row>
    <row r="516" spans="2:16">
      <c r="B516" s="81" t="s">
        <v>476</v>
      </c>
      <c r="C516" s="79">
        <v>44992000</v>
      </c>
      <c r="D516" s="79">
        <v>51609000</v>
      </c>
      <c r="F516" s="88">
        <f t="shared" si="175"/>
        <v>-6617000</v>
      </c>
      <c r="G516" s="92">
        <f t="shared" si="176"/>
        <v>-0.12821407118913367</v>
      </c>
      <c r="J516" s="73">
        <v>51609000</v>
      </c>
      <c r="K516" s="79">
        <f t="shared" si="167"/>
        <v>0</v>
      </c>
      <c r="M516" s="131">
        <v>44992000</v>
      </c>
      <c r="N516" s="73">
        <v>51609000</v>
      </c>
      <c r="O516" s="73">
        <f t="shared" si="177"/>
        <v>0</v>
      </c>
      <c r="P516" s="73">
        <f t="shared" si="178"/>
        <v>0</v>
      </c>
    </row>
    <row r="517" spans="2:16">
      <c r="B517" s="81" t="s">
        <v>477</v>
      </c>
      <c r="C517" s="79">
        <v>9518388.3000000007</v>
      </c>
      <c r="D517" s="79">
        <v>3615510</v>
      </c>
      <c r="F517" s="88">
        <f t="shared" si="175"/>
        <v>5902878.3000000007</v>
      </c>
      <c r="G517" s="92">
        <f t="shared" si="176"/>
        <v>1.6326543973049448</v>
      </c>
      <c r="H517" s="103" t="s">
        <v>238</v>
      </c>
      <c r="J517" s="73">
        <v>3575800</v>
      </c>
      <c r="K517" s="79">
        <f t="shared" si="167"/>
        <v>39710</v>
      </c>
      <c r="M517" s="131">
        <v>9518388.3000000007</v>
      </c>
      <c r="N517" s="73">
        <v>3615510</v>
      </c>
      <c r="O517" s="73">
        <f t="shared" si="177"/>
        <v>0</v>
      </c>
      <c r="P517" s="73">
        <f t="shared" si="178"/>
        <v>0</v>
      </c>
    </row>
    <row r="518" spans="2:16">
      <c r="B518" s="81" t="s">
        <v>478</v>
      </c>
      <c r="C518" s="79">
        <v>105112185.45</v>
      </c>
      <c r="D518" s="79">
        <v>195567585.66999999</v>
      </c>
      <c r="F518" s="88">
        <f t="shared" si="175"/>
        <v>-90455400.219999984</v>
      </c>
      <c r="G518" s="92">
        <f t="shared" si="176"/>
        <v>-0.46252757025202573</v>
      </c>
      <c r="H518" s="103" t="s">
        <v>238</v>
      </c>
      <c r="J518" s="73">
        <v>195567585.66999999</v>
      </c>
      <c r="K518" s="79">
        <f t="shared" si="167"/>
        <v>0</v>
      </c>
      <c r="M518" s="131">
        <v>105112185.45</v>
      </c>
      <c r="N518" s="73">
        <v>195567585.66999999</v>
      </c>
      <c r="O518" s="73">
        <f t="shared" si="177"/>
        <v>0</v>
      </c>
      <c r="P518" s="73">
        <f t="shared" si="178"/>
        <v>0</v>
      </c>
    </row>
    <row r="519" spans="2:16">
      <c r="B519" s="81" t="s">
        <v>479</v>
      </c>
      <c r="C519" s="79">
        <v>6613030.3099999996</v>
      </c>
      <c r="D519" s="79">
        <v>7722864.7300000004</v>
      </c>
      <c r="F519" s="88">
        <f t="shared" si="175"/>
        <v>-1109834.4200000009</v>
      </c>
      <c r="G519" s="92">
        <f t="shared" si="176"/>
        <v>-0.14370760835532603</v>
      </c>
      <c r="J519" s="73">
        <v>7723095.7000000002</v>
      </c>
      <c r="K519" s="79">
        <f t="shared" si="167"/>
        <v>-230.96999999973923</v>
      </c>
      <c r="M519" s="131">
        <v>6613030.3099999996</v>
      </c>
      <c r="N519" s="73">
        <v>7722864.7300000004</v>
      </c>
      <c r="O519" s="73">
        <f t="shared" si="177"/>
        <v>0</v>
      </c>
      <c r="P519" s="73">
        <f t="shared" si="178"/>
        <v>0</v>
      </c>
    </row>
    <row r="520" spans="2:16">
      <c r="B520" s="81" t="s">
        <v>480</v>
      </c>
      <c r="C520" s="79">
        <v>45517136.75</v>
      </c>
      <c r="D520" s="79">
        <v>48147243.340000004</v>
      </c>
      <c r="F520" s="88">
        <f t="shared" si="175"/>
        <v>-2630106.5900000036</v>
      </c>
      <c r="G520" s="92">
        <f t="shared" si="176"/>
        <v>-5.4626317262383137E-2</v>
      </c>
      <c r="J520" s="73">
        <v>48147243.340000004</v>
      </c>
      <c r="K520" s="79">
        <f t="shared" si="167"/>
        <v>0</v>
      </c>
      <c r="M520" s="131">
        <v>45517136.75</v>
      </c>
      <c r="N520" s="73">
        <v>48147243.340000004</v>
      </c>
      <c r="O520" s="73">
        <f t="shared" si="177"/>
        <v>0</v>
      </c>
      <c r="P520" s="73">
        <f t="shared" si="178"/>
        <v>0</v>
      </c>
    </row>
    <row r="521" spans="2:16">
      <c r="B521" s="81" t="s">
        <v>481</v>
      </c>
      <c r="C521" s="79">
        <v>549946031.54999995</v>
      </c>
      <c r="D521" s="79">
        <v>498819106</v>
      </c>
      <c r="F521" s="88">
        <f t="shared" si="175"/>
        <v>51126925.549999952</v>
      </c>
      <c r="G521" s="92">
        <f t="shared" si="176"/>
        <v>0.10249592474511181</v>
      </c>
      <c r="J521" s="73">
        <v>498895770</v>
      </c>
      <c r="K521" s="79">
        <f t="shared" si="167"/>
        <v>-76664</v>
      </c>
      <c r="M521" s="131">
        <v>549946031.54999995</v>
      </c>
      <c r="N521" s="73">
        <v>498819106</v>
      </c>
      <c r="O521" s="73">
        <f t="shared" si="177"/>
        <v>0</v>
      </c>
      <c r="P521" s="73">
        <f t="shared" si="178"/>
        <v>0</v>
      </c>
    </row>
    <row r="522" spans="2:16">
      <c r="B522" s="81" t="s">
        <v>482</v>
      </c>
      <c r="C522" s="79">
        <v>44577250</v>
      </c>
      <c r="D522" s="79">
        <v>44893750</v>
      </c>
      <c r="F522" s="88">
        <f t="shared" si="175"/>
        <v>-316500</v>
      </c>
      <c r="G522" s="92">
        <f t="shared" si="176"/>
        <v>-7.0499791173604344E-3</v>
      </c>
      <c r="J522" s="73">
        <v>44892750</v>
      </c>
      <c r="K522" s="79">
        <f t="shared" si="167"/>
        <v>1000</v>
      </c>
      <c r="M522" s="131">
        <v>44577250</v>
      </c>
      <c r="N522" s="73">
        <v>44893750</v>
      </c>
      <c r="O522" s="73">
        <f t="shared" si="177"/>
        <v>0</v>
      </c>
      <c r="P522" s="73">
        <f t="shared" si="178"/>
        <v>0</v>
      </c>
    </row>
    <row r="523" spans="2:16" ht="15" thickBot="1">
      <c r="B523" s="82" t="s">
        <v>483</v>
      </c>
      <c r="C523" s="83">
        <v>3381600</v>
      </c>
      <c r="D523" s="83">
        <v>1670372.28</v>
      </c>
      <c r="F523" s="88">
        <f t="shared" si="175"/>
        <v>1711227.72</v>
      </c>
      <c r="G523" s="92">
        <f t="shared" si="176"/>
        <v>1.024458882902439</v>
      </c>
      <c r="H523" s="103" t="s">
        <v>238</v>
      </c>
      <c r="J523" s="73">
        <v>1744762.63</v>
      </c>
      <c r="K523" s="79">
        <f t="shared" si="167"/>
        <v>-74390.34999999986</v>
      </c>
      <c r="M523" s="131">
        <v>3381600</v>
      </c>
      <c r="N523" s="73">
        <v>1670372.28</v>
      </c>
      <c r="O523" s="73">
        <f t="shared" si="177"/>
        <v>0</v>
      </c>
      <c r="P523" s="73">
        <f t="shared" si="178"/>
        <v>0</v>
      </c>
    </row>
    <row r="524" spans="2:16" ht="15" thickBot="1">
      <c r="B524" s="112" t="s">
        <v>190</v>
      </c>
      <c r="C524" s="85">
        <v>1158480977.0799999</v>
      </c>
      <c r="D524" s="85">
        <v>1219920362.5999999</v>
      </c>
      <c r="J524" s="73">
        <v>1220704231.02</v>
      </c>
      <c r="K524" s="79">
        <f t="shared" si="167"/>
        <v>-783868.42000007629</v>
      </c>
    </row>
    <row r="525" spans="2:16">
      <c r="B525" s="76" t="s">
        <v>484</v>
      </c>
      <c r="C525" s="77"/>
      <c r="D525" s="77"/>
      <c r="K525" s="79">
        <f t="shared" si="167"/>
        <v>0</v>
      </c>
    </row>
    <row r="526" spans="2:16" ht="27.6">
      <c r="B526" s="81" t="s">
        <v>485</v>
      </c>
      <c r="C526" s="79">
        <v>389807777.27999997</v>
      </c>
      <c r="D526" s="79">
        <v>370046211.60000002</v>
      </c>
      <c r="F526" s="88">
        <f t="shared" ref="F526:F529" si="179">+C526-D526</f>
        <v>19761565.679999948</v>
      </c>
      <c r="G526" s="92">
        <f t="shared" ref="G526:G529" si="180">+F526/D526</f>
        <v>5.3402967144441767E-2</v>
      </c>
      <c r="J526" s="73">
        <v>370046211.60000002</v>
      </c>
      <c r="K526" s="79">
        <f t="shared" si="167"/>
        <v>0</v>
      </c>
      <c r="M526" s="131">
        <v>389807777.27999997</v>
      </c>
      <c r="N526" s="73">
        <v>370046211.60000002</v>
      </c>
      <c r="O526" s="73">
        <f t="shared" ref="O526:O529" si="181">+C526-M526</f>
        <v>0</v>
      </c>
      <c r="P526" s="73">
        <f t="shared" ref="P526:P529" si="182">+D526-N526</f>
        <v>0</v>
      </c>
    </row>
    <row r="527" spans="2:16">
      <c r="B527" s="81" t="s">
        <v>486</v>
      </c>
      <c r="C527" s="79">
        <v>11046222.310000001</v>
      </c>
      <c r="D527" s="79">
        <v>10710643.52</v>
      </c>
      <c r="F527" s="88">
        <f t="shared" si="179"/>
        <v>335578.79000000097</v>
      </c>
      <c r="G527" s="92">
        <f t="shared" si="180"/>
        <v>3.1331337783147596E-2</v>
      </c>
      <c r="J527" s="73">
        <v>10710643.52</v>
      </c>
      <c r="K527" s="79">
        <f t="shared" si="167"/>
        <v>0</v>
      </c>
      <c r="M527" s="131">
        <v>11046222.310000001</v>
      </c>
      <c r="N527" s="73">
        <v>10710643.52</v>
      </c>
      <c r="O527" s="73">
        <f t="shared" si="181"/>
        <v>0</v>
      </c>
      <c r="P527" s="73">
        <f t="shared" si="182"/>
        <v>0</v>
      </c>
    </row>
    <row r="528" spans="2:16">
      <c r="B528" s="81" t="s">
        <v>487</v>
      </c>
      <c r="C528" s="79">
        <v>61744028.780000001</v>
      </c>
      <c r="D528" s="79">
        <v>43026435.990000002</v>
      </c>
      <c r="F528" s="88">
        <f t="shared" si="179"/>
        <v>18717592.789999999</v>
      </c>
      <c r="G528" s="92">
        <f t="shared" si="180"/>
        <v>0.43502540610963575</v>
      </c>
      <c r="H528" s="103" t="s">
        <v>238</v>
      </c>
      <c r="J528" s="73">
        <v>43026435.990000002</v>
      </c>
      <c r="K528" s="79">
        <f t="shared" si="167"/>
        <v>0</v>
      </c>
      <c r="M528" s="131">
        <v>61744028.780000001</v>
      </c>
      <c r="N528" s="73">
        <v>43026435.990000002</v>
      </c>
      <c r="O528" s="73">
        <f t="shared" si="181"/>
        <v>0</v>
      </c>
      <c r="P528" s="73">
        <f t="shared" si="182"/>
        <v>0</v>
      </c>
    </row>
    <row r="529" spans="2:16" ht="28.2" thickBot="1">
      <c r="B529" s="82" t="s">
        <v>488</v>
      </c>
      <c r="C529" s="83">
        <v>10873526.189999999</v>
      </c>
      <c r="D529" s="83">
        <v>11415185.619999999</v>
      </c>
      <c r="F529" s="88">
        <f t="shared" si="179"/>
        <v>-541659.4299999997</v>
      </c>
      <c r="G529" s="92">
        <f t="shared" si="180"/>
        <v>-4.7450777239310432E-2</v>
      </c>
      <c r="J529" s="73">
        <v>11415185.619999999</v>
      </c>
      <c r="K529" s="79">
        <f t="shared" si="167"/>
        <v>0</v>
      </c>
      <c r="M529" s="131">
        <v>10873526.189999999</v>
      </c>
      <c r="N529" s="73">
        <v>11415185.619999999</v>
      </c>
      <c r="O529" s="73">
        <f t="shared" si="181"/>
        <v>0</v>
      </c>
      <c r="P529" s="73">
        <f t="shared" si="182"/>
        <v>0</v>
      </c>
    </row>
    <row r="530" spans="2:16" ht="15" thickBot="1">
      <c r="B530" s="112" t="s">
        <v>190</v>
      </c>
      <c r="C530" s="85">
        <v>473471554.56</v>
      </c>
      <c r="D530" s="85">
        <v>435198476.73000002</v>
      </c>
      <c r="J530" s="73">
        <v>435198476.73000002</v>
      </c>
      <c r="K530" s="79">
        <f t="shared" si="167"/>
        <v>0</v>
      </c>
    </row>
    <row r="531" spans="2:16">
      <c r="B531" s="76" t="s">
        <v>489</v>
      </c>
      <c r="C531" s="134"/>
      <c r="D531" s="134"/>
      <c r="K531" s="79">
        <f t="shared" si="167"/>
        <v>0</v>
      </c>
    </row>
    <row r="532" spans="2:16">
      <c r="B532" s="81" t="s">
        <v>490</v>
      </c>
      <c r="C532" s="79">
        <v>174495899.36000001</v>
      </c>
      <c r="D532" s="79">
        <v>169216221.63</v>
      </c>
      <c r="F532" s="88">
        <f t="shared" ref="F532:F533" si="183">+C532-D532</f>
        <v>5279677.7300000191</v>
      </c>
      <c r="G532" s="92">
        <f t="shared" ref="G532:G533" si="184">+F532/D532</f>
        <v>3.1200777792712492E-2</v>
      </c>
      <c r="J532" s="73">
        <v>169223331.13</v>
      </c>
      <c r="K532" s="79">
        <f t="shared" si="167"/>
        <v>-7109.5</v>
      </c>
      <c r="M532" s="131">
        <v>174495899.36000001</v>
      </c>
      <c r="N532" s="73">
        <v>169216221.63</v>
      </c>
      <c r="O532" s="73">
        <f t="shared" ref="O532:O533" si="185">+C532-M532</f>
        <v>0</v>
      </c>
      <c r="P532" s="73">
        <f t="shared" ref="P532:P533" si="186">+D532-N532</f>
        <v>0</v>
      </c>
    </row>
    <row r="533" spans="2:16" ht="15" thickBot="1">
      <c r="B533" s="82" t="s">
        <v>489</v>
      </c>
      <c r="C533" s="83">
        <v>90480000</v>
      </c>
      <c r="D533" s="83">
        <v>80187000</v>
      </c>
      <c r="F533" s="88">
        <f t="shared" si="183"/>
        <v>10293000</v>
      </c>
      <c r="G533" s="92">
        <f t="shared" si="184"/>
        <v>0.12836245276665795</v>
      </c>
      <c r="J533" s="73">
        <v>80187000</v>
      </c>
      <c r="K533" s="79">
        <f t="shared" si="167"/>
        <v>0</v>
      </c>
      <c r="M533" s="131">
        <v>90480000</v>
      </c>
      <c r="N533" s="73">
        <v>80187000</v>
      </c>
      <c r="O533" s="73">
        <f t="shared" si="185"/>
        <v>0</v>
      </c>
      <c r="P533" s="73">
        <f t="shared" si="186"/>
        <v>0</v>
      </c>
    </row>
    <row r="534" spans="2:16" ht="15" thickBot="1">
      <c r="B534" s="112" t="s">
        <v>190</v>
      </c>
      <c r="C534" s="85">
        <v>264975899.36000001</v>
      </c>
      <c r="D534" s="85">
        <v>249403221.63</v>
      </c>
      <c r="J534" s="73">
        <v>249410331.13</v>
      </c>
      <c r="K534" s="79">
        <f t="shared" si="167"/>
        <v>-7109.5</v>
      </c>
    </row>
    <row r="535" spans="2:16" ht="15" thickBot="1">
      <c r="B535" s="84" t="s">
        <v>35</v>
      </c>
      <c r="C535" s="85">
        <v>5175191498.29</v>
      </c>
      <c r="D535" s="85">
        <v>5128845025.8500004</v>
      </c>
      <c r="J535" s="73">
        <v>5125599192.2399998</v>
      </c>
      <c r="K535" s="79">
        <f t="shared" si="167"/>
        <v>3245833.6100006104</v>
      </c>
      <c r="M535" s="131">
        <f>SUM(M505:M534)</f>
        <v>5175191498.289999</v>
      </c>
      <c r="N535" s="131">
        <f>SUM(N505:N534)</f>
        <v>5128845025.8500004</v>
      </c>
      <c r="O535" s="73">
        <f t="shared" ref="O535" si="187">+C535-M535</f>
        <v>0</v>
      </c>
      <c r="P535" s="73">
        <f t="shared" ref="P535" si="188">+D535-N535</f>
        <v>0</v>
      </c>
    </row>
    <row r="536" spans="2:16">
      <c r="B536" s="96" t="s">
        <v>156</v>
      </c>
      <c r="C536" s="73">
        <f>SUM(C505:C507,C510:C523,C526:C529,C532:C533)</f>
        <v>5175191498.289999</v>
      </c>
      <c r="D536" s="73">
        <f>SUM(D505:D507,D510:D523,D526:D529,D532:D533)</f>
        <v>5128845025.8500004</v>
      </c>
    </row>
    <row r="537" spans="2:16">
      <c r="B537" s="96" t="s">
        <v>156</v>
      </c>
      <c r="C537" s="73">
        <f>+C535-C536</f>
        <v>0</v>
      </c>
      <c r="D537" s="73">
        <f>+D535-D536</f>
        <v>0</v>
      </c>
    </row>
    <row r="538" spans="2:16">
      <c r="B538" s="108" t="s">
        <v>168</v>
      </c>
      <c r="C538" s="73">
        <f>+M535</f>
        <v>5175191498.289999</v>
      </c>
      <c r="D538" s="73">
        <f>+N535</f>
        <v>5128845025.8500004</v>
      </c>
    </row>
    <row r="539" spans="2:16">
      <c r="B539" s="108" t="s">
        <v>168</v>
      </c>
      <c r="C539" s="73">
        <f>+C535-C538</f>
        <v>0</v>
      </c>
      <c r="D539" s="73">
        <f>+D535-D538</f>
        <v>0</v>
      </c>
    </row>
    <row r="540" spans="2:16">
      <c r="B540" s="96" t="s">
        <v>156</v>
      </c>
      <c r="C540" s="73">
        <f>SUM(C505:C507)</f>
        <v>3278263067.29</v>
      </c>
      <c r="D540" s="73">
        <f>SUM(D505:D507)</f>
        <v>3224322964.8899999</v>
      </c>
    </row>
    <row r="541" spans="2:16">
      <c r="B541" s="96" t="s">
        <v>156</v>
      </c>
      <c r="C541" s="73">
        <f>+C508-C540</f>
        <v>0</v>
      </c>
      <c r="D541" s="73">
        <f>+D508-D540</f>
        <v>0</v>
      </c>
    </row>
    <row r="542" spans="2:16">
      <c r="B542" s="96" t="s">
        <v>156</v>
      </c>
      <c r="C542" s="73">
        <f>SUM(C510:C523)</f>
        <v>1158480977.0799999</v>
      </c>
      <c r="D542" s="73">
        <f>SUM(D510:D523)</f>
        <v>1219920362.6000001</v>
      </c>
    </row>
    <row r="543" spans="2:16">
      <c r="B543" s="96" t="s">
        <v>156</v>
      </c>
      <c r="C543" s="73">
        <f>+C524-C542</f>
        <v>0</v>
      </c>
      <c r="D543" s="73">
        <f>+D524-D542</f>
        <v>0</v>
      </c>
    </row>
    <row r="544" spans="2:16">
      <c r="B544" s="96" t="s">
        <v>156</v>
      </c>
      <c r="C544" s="73">
        <f>SUM(C526:C529)</f>
        <v>473471554.56</v>
      </c>
      <c r="D544" s="73">
        <f>SUM(D526:D529)</f>
        <v>435198476.73000002</v>
      </c>
    </row>
    <row r="545" spans="1:16">
      <c r="B545" s="96" t="s">
        <v>156</v>
      </c>
      <c r="C545" s="73">
        <f>C530-C544</f>
        <v>0</v>
      </c>
      <c r="D545" s="73">
        <f>D530-D544</f>
        <v>0</v>
      </c>
    </row>
    <row r="546" spans="1:16">
      <c r="B546" s="96" t="s">
        <v>156</v>
      </c>
      <c r="C546" s="73">
        <f>SUM(C532:C533)</f>
        <v>264975899.36000001</v>
      </c>
      <c r="D546" s="73">
        <f>SUM(D532:D533)</f>
        <v>249403221.63</v>
      </c>
    </row>
    <row r="547" spans="1:16">
      <c r="B547" s="96" t="s">
        <v>156</v>
      </c>
      <c r="C547" s="73">
        <f>C534-C546</f>
        <v>0</v>
      </c>
      <c r="D547" s="73">
        <f>D534-D546</f>
        <v>0</v>
      </c>
    </row>
    <row r="549" spans="1:16" ht="15" thickBot="1">
      <c r="A549" s="175" t="s">
        <v>491</v>
      </c>
    </row>
    <row r="550" spans="1:16" ht="15" thickBot="1">
      <c r="B550" s="75" t="s">
        <v>144</v>
      </c>
      <c r="C550" s="75">
        <v>2022</v>
      </c>
      <c r="D550" s="75">
        <v>2021</v>
      </c>
    </row>
    <row r="551" spans="1:16">
      <c r="B551" s="76" t="s">
        <v>492</v>
      </c>
      <c r="C551" s="134"/>
      <c r="D551" s="134"/>
    </row>
    <row r="552" spans="1:16">
      <c r="B552" s="81" t="s">
        <v>493</v>
      </c>
      <c r="C552" s="79">
        <v>6720201.2800000003</v>
      </c>
      <c r="D552" s="79">
        <v>5156032</v>
      </c>
      <c r="F552" s="88">
        <f t="shared" ref="F552:F553" si="189">+C552-D552</f>
        <v>1564169.2800000003</v>
      </c>
      <c r="G552" s="92">
        <f t="shared" ref="G552:G553" si="190">+F552/D552</f>
        <v>0.30336686816528685</v>
      </c>
      <c r="H552" s="103" t="s">
        <v>237</v>
      </c>
      <c r="J552" s="73">
        <v>5156032</v>
      </c>
      <c r="K552" s="79">
        <f t="shared" ref="K552:K553" si="191">+D552-J552</f>
        <v>0</v>
      </c>
      <c r="M552" s="131">
        <v>6720201.2800000003</v>
      </c>
      <c r="N552" s="73">
        <v>5156032</v>
      </c>
      <c r="O552" s="73">
        <f t="shared" ref="O552:O615" si="192">+C552-M552</f>
        <v>0</v>
      </c>
      <c r="P552" s="73">
        <f t="shared" ref="P552:P615" si="193">+D552-N552</f>
        <v>0</v>
      </c>
    </row>
    <row r="553" spans="1:16">
      <c r="B553" s="81" t="s">
        <v>543</v>
      </c>
      <c r="C553" s="79">
        <v>64419.34</v>
      </c>
      <c r="D553" s="77">
        <v>0</v>
      </c>
      <c r="F553" s="88">
        <f t="shared" si="189"/>
        <v>64419.34</v>
      </c>
      <c r="G553" s="92" t="e">
        <f t="shared" si="190"/>
        <v>#DIV/0!</v>
      </c>
      <c r="H553" s="103" t="s">
        <v>238</v>
      </c>
      <c r="J553">
        <v>0</v>
      </c>
      <c r="K553" s="79">
        <f t="shared" si="191"/>
        <v>0</v>
      </c>
      <c r="M553" s="131">
        <v>64419.34</v>
      </c>
      <c r="N553">
        <v>0</v>
      </c>
      <c r="O553" s="73">
        <f t="shared" si="192"/>
        <v>0</v>
      </c>
      <c r="P553" s="73">
        <f t="shared" si="193"/>
        <v>0</v>
      </c>
    </row>
    <row r="554" spans="1:16" ht="27.6">
      <c r="B554" s="76" t="s">
        <v>494</v>
      </c>
      <c r="C554" s="77"/>
      <c r="D554" s="77"/>
      <c r="O554" s="73"/>
      <c r="P554" s="73"/>
    </row>
    <row r="555" spans="1:16">
      <c r="B555" s="81" t="s">
        <v>495</v>
      </c>
      <c r="C555" s="79">
        <v>10992863.5</v>
      </c>
      <c r="D555" s="79">
        <v>9205098.3900000006</v>
      </c>
      <c r="F555" s="88">
        <f t="shared" ref="F555" si="194">+C555-D555</f>
        <v>1787765.1099999994</v>
      </c>
      <c r="G555" s="92">
        <f t="shared" ref="G555" si="195">+F555/D555</f>
        <v>0.19421466607485108</v>
      </c>
      <c r="J555" s="73">
        <v>9205098.3900000006</v>
      </c>
      <c r="K555" s="79">
        <f t="shared" ref="K555:K567" si="196">+D555-J555</f>
        <v>0</v>
      </c>
      <c r="M555" s="131">
        <v>10992863.5</v>
      </c>
      <c r="N555" s="73">
        <v>9205098.3900000006</v>
      </c>
      <c r="O555" s="73">
        <f t="shared" si="192"/>
        <v>0</v>
      </c>
      <c r="P555" s="73">
        <f t="shared" si="193"/>
        <v>0</v>
      </c>
    </row>
    <row r="556" spans="1:16" ht="27.6">
      <c r="B556" s="76" t="s">
        <v>496</v>
      </c>
      <c r="C556" s="77"/>
      <c r="D556" s="77"/>
      <c r="O556" s="73">
        <f t="shared" si="192"/>
        <v>0</v>
      </c>
      <c r="P556" s="73">
        <f t="shared" si="193"/>
        <v>0</v>
      </c>
    </row>
    <row r="557" spans="1:16">
      <c r="B557" s="81" t="s">
        <v>497</v>
      </c>
      <c r="C557" s="79">
        <v>64314038.210000001</v>
      </c>
      <c r="D557" s="79">
        <v>63177810.890000001</v>
      </c>
      <c r="F557" s="88">
        <f t="shared" ref="F557:F567" si="197">+C557-D557</f>
        <v>1136227.3200000003</v>
      </c>
      <c r="G557" s="92">
        <f t="shared" ref="G557:G567" si="198">+F557/D557</f>
        <v>1.7984594654257738E-2</v>
      </c>
      <c r="J557" s="73">
        <v>63177810.890000001</v>
      </c>
      <c r="K557" s="79">
        <f t="shared" si="196"/>
        <v>0</v>
      </c>
      <c r="M557" s="131">
        <v>64314038.210000001</v>
      </c>
      <c r="N557" s="73">
        <v>63177810.890000001</v>
      </c>
      <c r="O557" s="73">
        <f t="shared" si="192"/>
        <v>0</v>
      </c>
      <c r="P557" s="73">
        <f t="shared" si="193"/>
        <v>0</v>
      </c>
    </row>
    <row r="558" spans="1:16">
      <c r="B558" s="81" t="s">
        <v>257</v>
      </c>
      <c r="C558" s="79">
        <v>1986565.68</v>
      </c>
      <c r="D558" s="79">
        <v>3401883.5</v>
      </c>
      <c r="F558" s="88">
        <f t="shared" si="197"/>
        <v>-1415317.82</v>
      </c>
      <c r="G558" s="92">
        <f t="shared" si="198"/>
        <v>-0.41603947342700009</v>
      </c>
      <c r="H558" s="103" t="s">
        <v>237</v>
      </c>
      <c r="J558" s="73">
        <v>3401883.5</v>
      </c>
      <c r="K558" s="79">
        <f t="shared" si="196"/>
        <v>0</v>
      </c>
      <c r="M558" s="131">
        <v>1986565.68</v>
      </c>
      <c r="N558" s="73">
        <v>3401883.5</v>
      </c>
      <c r="O558" s="73">
        <f t="shared" si="192"/>
        <v>0</v>
      </c>
      <c r="P558" s="73">
        <f t="shared" si="193"/>
        <v>0</v>
      </c>
    </row>
    <row r="559" spans="1:16" ht="27.6">
      <c r="B559" s="81" t="s">
        <v>258</v>
      </c>
      <c r="C559" s="79">
        <v>48108</v>
      </c>
      <c r="D559" s="79">
        <v>20000</v>
      </c>
      <c r="F559" s="88">
        <f t="shared" si="197"/>
        <v>28108</v>
      </c>
      <c r="G559" s="92">
        <f t="shared" si="198"/>
        <v>1.4054</v>
      </c>
      <c r="H559" s="103" t="s">
        <v>237</v>
      </c>
      <c r="J559" s="73">
        <v>20000</v>
      </c>
      <c r="K559" s="79">
        <f t="shared" si="196"/>
        <v>0</v>
      </c>
      <c r="M559" s="131">
        <v>48108</v>
      </c>
      <c r="N559" s="73">
        <v>20000</v>
      </c>
      <c r="O559" s="73">
        <f t="shared" si="192"/>
        <v>0</v>
      </c>
      <c r="P559" s="73">
        <f t="shared" si="193"/>
        <v>0</v>
      </c>
    </row>
    <row r="560" spans="1:16" ht="27.6">
      <c r="B560" s="81" t="s">
        <v>259</v>
      </c>
      <c r="C560" s="79">
        <v>13119328.9</v>
      </c>
      <c r="D560" s="79">
        <v>1689446</v>
      </c>
      <c r="F560" s="88">
        <f t="shared" si="197"/>
        <v>11429882.9</v>
      </c>
      <c r="G560" s="92">
        <f t="shared" si="198"/>
        <v>6.7654621100644832</v>
      </c>
      <c r="H560" s="103" t="s">
        <v>237</v>
      </c>
      <c r="J560" s="73">
        <v>1689446</v>
      </c>
      <c r="K560" s="79">
        <f t="shared" si="196"/>
        <v>0</v>
      </c>
      <c r="M560" s="131">
        <v>13119328.9</v>
      </c>
      <c r="N560" s="73">
        <v>1689446</v>
      </c>
      <c r="O560" s="73">
        <f t="shared" si="192"/>
        <v>0</v>
      </c>
      <c r="P560" s="73">
        <f t="shared" si="193"/>
        <v>0</v>
      </c>
    </row>
    <row r="561" spans="2:16">
      <c r="B561" s="81" t="s">
        <v>260</v>
      </c>
      <c r="C561" s="79">
        <v>58156549.609999999</v>
      </c>
      <c r="D561" s="79">
        <v>453980515.14999998</v>
      </c>
      <c r="F561" s="88">
        <f t="shared" si="197"/>
        <v>-395823965.53999996</v>
      </c>
      <c r="G561" s="92">
        <f t="shared" si="198"/>
        <v>-0.87189637513234575</v>
      </c>
      <c r="H561" s="140" t="s">
        <v>237</v>
      </c>
      <c r="J561" s="73">
        <v>453980515.14999998</v>
      </c>
      <c r="K561" s="79">
        <f t="shared" si="196"/>
        <v>0</v>
      </c>
      <c r="M561" s="131">
        <v>58156549.609999999</v>
      </c>
      <c r="N561" s="73">
        <v>453980515.14999998</v>
      </c>
      <c r="O561" s="73">
        <f t="shared" si="192"/>
        <v>0</v>
      </c>
      <c r="P561" s="73">
        <f t="shared" si="193"/>
        <v>0</v>
      </c>
    </row>
    <row r="562" spans="2:16">
      <c r="B562" s="81" t="s">
        <v>261</v>
      </c>
      <c r="C562" s="79">
        <v>1334497000</v>
      </c>
      <c r="D562" s="79">
        <v>3672998178.5999999</v>
      </c>
      <c r="F562" s="88">
        <f t="shared" si="197"/>
        <v>-2338501178.5999999</v>
      </c>
      <c r="G562" s="92">
        <f t="shared" si="198"/>
        <v>-0.6366736559317715</v>
      </c>
      <c r="H562" s="140" t="s">
        <v>237</v>
      </c>
      <c r="J562" s="73">
        <v>3672998178.5999999</v>
      </c>
      <c r="K562" s="79">
        <f t="shared" si="196"/>
        <v>0</v>
      </c>
      <c r="M562" s="131">
        <v>1334497000</v>
      </c>
      <c r="N562" s="73">
        <v>3672998178.5999999</v>
      </c>
      <c r="O562" s="73">
        <f t="shared" si="192"/>
        <v>0</v>
      </c>
      <c r="P562" s="73">
        <f t="shared" si="193"/>
        <v>0</v>
      </c>
    </row>
    <row r="563" spans="2:16">
      <c r="B563" s="81" t="s">
        <v>262</v>
      </c>
      <c r="C563" s="79">
        <v>516522268.93000001</v>
      </c>
      <c r="D563" s="79">
        <v>1195128344.5599999</v>
      </c>
      <c r="F563" s="88">
        <f t="shared" si="197"/>
        <v>-678606075.62999988</v>
      </c>
      <c r="G563" s="92">
        <f t="shared" si="198"/>
        <v>-0.56781020943808036</v>
      </c>
      <c r="H563" s="140" t="s">
        <v>237</v>
      </c>
      <c r="J563" s="73">
        <v>1195128344.5599999</v>
      </c>
      <c r="K563" s="79">
        <f t="shared" si="196"/>
        <v>0</v>
      </c>
      <c r="M563" s="131">
        <v>516522268.93000001</v>
      </c>
      <c r="N563" s="73">
        <v>1195128344.5599999</v>
      </c>
      <c r="O563" s="73">
        <f t="shared" si="192"/>
        <v>0</v>
      </c>
      <c r="P563" s="73">
        <f t="shared" si="193"/>
        <v>0</v>
      </c>
    </row>
    <row r="564" spans="2:16" ht="27.6">
      <c r="B564" s="81" t="s">
        <v>263</v>
      </c>
      <c r="C564" s="169">
        <v>562613648.89999998</v>
      </c>
      <c r="D564" s="79">
        <v>916977899.25999999</v>
      </c>
      <c r="F564" s="88">
        <f t="shared" si="197"/>
        <v>-354364250.36000001</v>
      </c>
      <c r="G564" s="92">
        <f t="shared" si="198"/>
        <v>-0.38644797289658944</v>
      </c>
      <c r="H564" s="140" t="s">
        <v>237</v>
      </c>
      <c r="J564" s="73">
        <v>914184536.25999999</v>
      </c>
      <c r="K564" s="79">
        <f t="shared" si="196"/>
        <v>2793363</v>
      </c>
      <c r="M564" s="131">
        <v>479749776</v>
      </c>
      <c r="N564" s="73">
        <v>916977899.25999999</v>
      </c>
      <c r="O564" s="73">
        <f t="shared" si="192"/>
        <v>82863872.899999976</v>
      </c>
      <c r="P564" s="73">
        <f t="shared" si="193"/>
        <v>0</v>
      </c>
    </row>
    <row r="565" spans="2:16" ht="27.6">
      <c r="B565" s="81" t="s">
        <v>264</v>
      </c>
      <c r="C565" s="79">
        <v>23741904.09</v>
      </c>
      <c r="D565" s="79">
        <v>41168504</v>
      </c>
      <c r="F565" s="88">
        <f t="shared" si="197"/>
        <v>-17426599.91</v>
      </c>
      <c r="G565" s="92">
        <f t="shared" si="198"/>
        <v>-0.42329932392005304</v>
      </c>
      <c r="H565" s="103" t="s">
        <v>237</v>
      </c>
      <c r="J565" s="73">
        <v>41168504</v>
      </c>
      <c r="K565" s="79">
        <f t="shared" si="196"/>
        <v>0</v>
      </c>
      <c r="M565" s="131">
        <v>23741904.09</v>
      </c>
      <c r="N565" s="73">
        <v>41168504</v>
      </c>
      <c r="O565" s="73">
        <f t="shared" si="192"/>
        <v>0</v>
      </c>
      <c r="P565" s="73">
        <f t="shared" si="193"/>
        <v>0</v>
      </c>
    </row>
    <row r="566" spans="2:16" ht="27.6">
      <c r="B566" s="81" t="s">
        <v>265</v>
      </c>
      <c r="C566" s="79">
        <v>61783489.149999999</v>
      </c>
      <c r="D566" s="79">
        <v>11717900</v>
      </c>
      <c r="F566" s="88">
        <f t="shared" si="197"/>
        <v>50065589.149999999</v>
      </c>
      <c r="G566" s="92">
        <f t="shared" si="198"/>
        <v>4.2725735114653647</v>
      </c>
      <c r="H566" s="103" t="s">
        <v>237</v>
      </c>
      <c r="J566" s="73">
        <v>11521400</v>
      </c>
      <c r="K566" s="79">
        <f t="shared" si="196"/>
        <v>196500</v>
      </c>
      <c r="M566" s="131">
        <v>61783489.149999999</v>
      </c>
      <c r="N566" s="73">
        <v>11717900</v>
      </c>
      <c r="O566" s="73">
        <f t="shared" si="192"/>
        <v>0</v>
      </c>
      <c r="P566" s="73">
        <f t="shared" si="193"/>
        <v>0</v>
      </c>
    </row>
    <row r="567" spans="2:16" ht="28.2" thickBot="1">
      <c r="B567" s="82" t="s">
        <v>266</v>
      </c>
      <c r="C567" s="83">
        <v>859561728.90999997</v>
      </c>
      <c r="D567" s="83">
        <v>1659928892.3699999</v>
      </c>
      <c r="F567" s="88">
        <f t="shared" si="197"/>
        <v>-800367163.45999992</v>
      </c>
      <c r="G567" s="92">
        <f t="shared" si="198"/>
        <v>-0.48216954782759286</v>
      </c>
      <c r="H567" s="103" t="s">
        <v>237</v>
      </c>
      <c r="J567" s="73">
        <v>1363649150.3699999</v>
      </c>
      <c r="K567" s="79">
        <f t="shared" si="196"/>
        <v>296279742</v>
      </c>
      <c r="M567" s="131">
        <v>859561728.90999997</v>
      </c>
      <c r="N567" s="73">
        <v>1659928892.3699999</v>
      </c>
      <c r="O567" s="73">
        <f t="shared" si="192"/>
        <v>0</v>
      </c>
      <c r="P567" s="73">
        <f t="shared" si="193"/>
        <v>0</v>
      </c>
    </row>
    <row r="568" spans="2:16" ht="15" thickBot="1">
      <c r="B568" s="112" t="s">
        <v>190</v>
      </c>
      <c r="C568" s="145">
        <v>3514122114.5</v>
      </c>
      <c r="D568" s="85">
        <v>8034550504.7200003</v>
      </c>
      <c r="O568" s="73"/>
      <c r="P568" s="73"/>
    </row>
    <row r="569" spans="2:16">
      <c r="B569" s="76" t="s">
        <v>498</v>
      </c>
      <c r="C569" s="77"/>
      <c r="D569" s="77"/>
      <c r="O569" s="73"/>
      <c r="P569" s="73"/>
    </row>
    <row r="570" spans="2:16">
      <c r="B570" s="81" t="s">
        <v>499</v>
      </c>
      <c r="C570" s="79">
        <v>192869344.72</v>
      </c>
      <c r="D570" s="79">
        <v>183469779.83000001</v>
      </c>
      <c r="F570" s="88">
        <f t="shared" ref="F570:F571" si="199">+C570-D570</f>
        <v>9399564.8899999857</v>
      </c>
      <c r="G570" s="92">
        <f t="shared" ref="G570:G571" si="200">+F570/D570</f>
        <v>5.1232224177243046E-2</v>
      </c>
      <c r="J570" s="73">
        <v>183469779.83000001</v>
      </c>
      <c r="K570" s="79">
        <f t="shared" ref="K570:K571" si="201">+D570-J570</f>
        <v>0</v>
      </c>
      <c r="M570" s="131">
        <v>192869344.72</v>
      </c>
      <c r="N570" s="73">
        <v>183469779.83000001</v>
      </c>
      <c r="O570" s="73">
        <f t="shared" si="192"/>
        <v>0</v>
      </c>
      <c r="P570" s="73">
        <f t="shared" si="193"/>
        <v>0</v>
      </c>
    </row>
    <row r="571" spans="2:16" ht="15" thickBot="1">
      <c r="B571" s="82" t="s">
        <v>500</v>
      </c>
      <c r="C571" s="83">
        <v>334485838.67000002</v>
      </c>
      <c r="D571" s="83">
        <v>384274421.42000002</v>
      </c>
      <c r="F571" s="88">
        <f t="shared" si="199"/>
        <v>-49788582.75</v>
      </c>
      <c r="G571" s="92">
        <f t="shared" si="200"/>
        <v>-0.12956517523601349</v>
      </c>
      <c r="J571" s="73">
        <v>384461658.38</v>
      </c>
      <c r="K571" s="79">
        <f t="shared" si="201"/>
        <v>-187236.95999997854</v>
      </c>
      <c r="M571" s="131">
        <v>334485838.67000002</v>
      </c>
      <c r="N571" s="73">
        <v>384274421.42000002</v>
      </c>
      <c r="O571" s="73">
        <f t="shared" si="192"/>
        <v>0</v>
      </c>
      <c r="P571" s="73">
        <f t="shared" si="193"/>
        <v>0</v>
      </c>
    </row>
    <row r="572" spans="2:16" ht="15" thickBot="1">
      <c r="B572" s="112" t="s">
        <v>190</v>
      </c>
      <c r="C572" s="85">
        <v>527355183.38999999</v>
      </c>
      <c r="D572" s="85">
        <v>567744201.25</v>
      </c>
      <c r="O572" s="73"/>
      <c r="P572" s="73"/>
    </row>
    <row r="573" spans="2:16">
      <c r="B573" s="76" t="s">
        <v>501</v>
      </c>
      <c r="C573" s="134"/>
      <c r="D573" s="134"/>
      <c r="O573" s="73"/>
      <c r="P573" s="73"/>
    </row>
    <row r="574" spans="2:16">
      <c r="B574" s="81" t="s">
        <v>502</v>
      </c>
      <c r="C574" s="79">
        <v>38045</v>
      </c>
      <c r="D574" s="79">
        <v>331916</v>
      </c>
      <c r="F574" s="88">
        <f t="shared" ref="F574:F577" si="202">+C574-D574</f>
        <v>-293871</v>
      </c>
      <c r="G574" s="92">
        <f t="shared" ref="G574:G577" si="203">+F574/D574</f>
        <v>-0.88537762566432476</v>
      </c>
      <c r="H574" s="103" t="s">
        <v>238</v>
      </c>
      <c r="J574" s="73">
        <v>331916</v>
      </c>
      <c r="K574" s="79">
        <f t="shared" ref="K574:K576" si="204">+D574-J574</f>
        <v>0</v>
      </c>
      <c r="M574" s="131">
        <v>38045</v>
      </c>
      <c r="N574" s="73">
        <v>331916</v>
      </c>
      <c r="O574" s="73">
        <f t="shared" si="192"/>
        <v>0</v>
      </c>
      <c r="P574" s="73">
        <f t="shared" si="193"/>
        <v>0</v>
      </c>
    </row>
    <row r="575" spans="2:16">
      <c r="B575" s="81" t="s">
        <v>503</v>
      </c>
      <c r="C575" s="79">
        <v>11260420.41</v>
      </c>
      <c r="D575" s="79">
        <v>17662936.059999999</v>
      </c>
      <c r="F575" s="88">
        <f t="shared" si="202"/>
        <v>-6402515.6499999985</v>
      </c>
      <c r="G575" s="92">
        <f t="shared" si="203"/>
        <v>-0.36248309048116428</v>
      </c>
      <c r="H575" s="103" t="s">
        <v>237</v>
      </c>
      <c r="J575" s="73">
        <v>17662936.059999999</v>
      </c>
      <c r="K575" s="79">
        <f t="shared" si="204"/>
        <v>0</v>
      </c>
      <c r="M575" s="131">
        <v>11260420.41</v>
      </c>
      <c r="N575" s="73">
        <v>17662936.059999999</v>
      </c>
      <c r="O575" s="73">
        <f t="shared" si="192"/>
        <v>0</v>
      </c>
      <c r="P575" s="73">
        <f t="shared" si="193"/>
        <v>0</v>
      </c>
    </row>
    <row r="576" spans="2:16">
      <c r="B576" s="81" t="s">
        <v>504</v>
      </c>
      <c r="C576" s="79">
        <v>17328968.390000001</v>
      </c>
      <c r="D576" s="79">
        <v>25120453.210000001</v>
      </c>
      <c r="F576" s="88">
        <f t="shared" si="202"/>
        <v>-7791484.8200000003</v>
      </c>
      <c r="G576" s="92">
        <f t="shared" si="203"/>
        <v>-0.31016497811028149</v>
      </c>
      <c r="H576" s="103" t="s">
        <v>237</v>
      </c>
      <c r="J576" s="73">
        <v>25120453.210000001</v>
      </c>
      <c r="K576" s="79">
        <f t="shared" si="204"/>
        <v>0</v>
      </c>
      <c r="M576" s="131">
        <v>17328968.390000001</v>
      </c>
      <c r="N576" s="73">
        <v>25120453.210000001</v>
      </c>
      <c r="O576" s="73">
        <f t="shared" si="192"/>
        <v>0</v>
      </c>
      <c r="P576" s="73">
        <f t="shared" si="193"/>
        <v>0</v>
      </c>
    </row>
    <row r="577" spans="2:16" ht="28.2" thickBot="1">
      <c r="B577" s="82" t="s">
        <v>505</v>
      </c>
      <c r="C577" s="99">
        <v>0</v>
      </c>
      <c r="D577" s="99">
        <v>0</v>
      </c>
      <c r="F577" s="88">
        <f t="shared" si="202"/>
        <v>0</v>
      </c>
      <c r="G577" s="92" t="e">
        <f t="shared" si="203"/>
        <v>#DIV/0!</v>
      </c>
      <c r="O577" s="73"/>
      <c r="P577" s="73"/>
    </row>
    <row r="578" spans="2:16" ht="15" thickBot="1">
      <c r="B578" s="112" t="s">
        <v>190</v>
      </c>
      <c r="C578" s="85">
        <v>28627433.800000001</v>
      </c>
      <c r="D578" s="85">
        <v>43115305.270000003</v>
      </c>
      <c r="O578" s="73"/>
      <c r="P578" s="73"/>
    </row>
    <row r="579" spans="2:16">
      <c r="B579" s="430" t="s">
        <v>506</v>
      </c>
      <c r="C579" s="430"/>
      <c r="D579" s="77"/>
      <c r="O579" s="73"/>
      <c r="P579" s="73"/>
    </row>
    <row r="580" spans="2:16">
      <c r="B580" s="81" t="s">
        <v>507</v>
      </c>
      <c r="C580" s="79">
        <v>3995000</v>
      </c>
      <c r="D580" s="77">
        <v>0</v>
      </c>
      <c r="F580" s="88">
        <f t="shared" ref="F580:F581" si="205">+C580-D580</f>
        <v>3995000</v>
      </c>
      <c r="G580" s="92" t="e">
        <f t="shared" ref="G580:G581" si="206">+F580/D580</f>
        <v>#DIV/0!</v>
      </c>
      <c r="H580" s="103" t="s">
        <v>237</v>
      </c>
      <c r="J580">
        <v>0</v>
      </c>
      <c r="K580" s="79">
        <f t="shared" ref="K580:K581" si="207">+D580-J580</f>
        <v>0</v>
      </c>
      <c r="M580" s="131">
        <v>3995000</v>
      </c>
      <c r="N580">
        <v>0</v>
      </c>
      <c r="O580" s="73">
        <f t="shared" si="192"/>
        <v>0</v>
      </c>
      <c r="P580" s="73">
        <f t="shared" si="193"/>
        <v>0</v>
      </c>
    </row>
    <row r="581" spans="2:16" ht="15" thickBot="1">
      <c r="B581" s="82" t="s">
        <v>508</v>
      </c>
      <c r="C581" s="83">
        <v>1010000</v>
      </c>
      <c r="D581" s="83">
        <v>276000</v>
      </c>
      <c r="F581" s="88">
        <f t="shared" si="205"/>
        <v>734000</v>
      </c>
      <c r="G581" s="92">
        <f t="shared" si="206"/>
        <v>2.6594202898550723</v>
      </c>
      <c r="H581" s="103" t="s">
        <v>238</v>
      </c>
      <c r="J581" s="73">
        <v>276000</v>
      </c>
      <c r="K581" s="79">
        <f t="shared" si="207"/>
        <v>0</v>
      </c>
      <c r="M581" s="131">
        <v>1010000</v>
      </c>
      <c r="N581" s="73">
        <v>276000</v>
      </c>
      <c r="O581" s="73">
        <f t="shared" si="192"/>
        <v>0</v>
      </c>
      <c r="P581" s="73">
        <f t="shared" si="193"/>
        <v>0</v>
      </c>
    </row>
    <row r="582" spans="2:16" ht="15" thickBot="1">
      <c r="B582" s="158" t="s">
        <v>190</v>
      </c>
      <c r="C582" s="85">
        <v>5005000</v>
      </c>
      <c r="D582" s="85">
        <v>276000</v>
      </c>
      <c r="O582" s="73"/>
      <c r="P582" s="73"/>
    </row>
    <row r="583" spans="2:16">
      <c r="B583" s="430" t="s">
        <v>509</v>
      </c>
      <c r="C583" s="430"/>
      <c r="D583" s="100"/>
      <c r="O583" s="73"/>
      <c r="P583" s="73"/>
    </row>
    <row r="584" spans="2:16" ht="27.6">
      <c r="B584" s="81" t="s">
        <v>510</v>
      </c>
      <c r="C584" s="79">
        <v>120000</v>
      </c>
      <c r="D584" s="77">
        <v>0</v>
      </c>
      <c r="F584" s="88">
        <f t="shared" ref="F584:F588" si="208">+C584-D584</f>
        <v>120000</v>
      </c>
      <c r="G584" s="92" t="e">
        <f t="shared" ref="G584:G588" si="209">+F584/D584</f>
        <v>#DIV/0!</v>
      </c>
      <c r="H584" s="103" t="s">
        <v>238</v>
      </c>
      <c r="J584" s="73">
        <v>0</v>
      </c>
      <c r="K584" s="79">
        <f t="shared" ref="K584" si="210">+D584-J584</f>
        <v>0</v>
      </c>
      <c r="M584" s="131">
        <v>120000</v>
      </c>
      <c r="N584">
        <v>0</v>
      </c>
      <c r="O584" s="73">
        <f t="shared" si="192"/>
        <v>0</v>
      </c>
      <c r="P584" s="73">
        <f t="shared" si="193"/>
        <v>0</v>
      </c>
    </row>
    <row r="585" spans="2:16" ht="14.4" customHeight="1">
      <c r="B585" s="74" t="s">
        <v>511</v>
      </c>
      <c r="C585" s="74"/>
      <c r="D585" s="77"/>
      <c r="F585" s="88"/>
      <c r="G585" s="92"/>
      <c r="J585" s="73"/>
      <c r="O585" s="73">
        <f t="shared" si="192"/>
        <v>0</v>
      </c>
      <c r="P585" s="73">
        <f t="shared" si="193"/>
        <v>0</v>
      </c>
    </row>
    <row r="586" spans="2:16">
      <c r="B586" s="81" t="s">
        <v>512</v>
      </c>
      <c r="C586" s="79">
        <v>120000000</v>
      </c>
      <c r="D586" s="79">
        <v>120000000</v>
      </c>
      <c r="F586" s="88">
        <f t="shared" si="208"/>
        <v>0</v>
      </c>
      <c r="G586" s="92">
        <f t="shared" si="209"/>
        <v>0</v>
      </c>
      <c r="J586" s="73">
        <v>120000000</v>
      </c>
      <c r="K586" s="79">
        <f t="shared" ref="K586" si="211">+D586-J586</f>
        <v>0</v>
      </c>
      <c r="M586" s="131">
        <v>120000000</v>
      </c>
      <c r="N586" s="73">
        <v>120000000</v>
      </c>
      <c r="O586" s="73">
        <f t="shared" si="192"/>
        <v>0</v>
      </c>
      <c r="P586" s="73">
        <f t="shared" si="193"/>
        <v>0</v>
      </c>
    </row>
    <row r="587" spans="2:16">
      <c r="B587" s="438" t="s">
        <v>513</v>
      </c>
      <c r="C587" s="77" t="s">
        <v>468</v>
      </c>
      <c r="D587" s="77" t="s">
        <v>468</v>
      </c>
      <c r="F587" s="88"/>
      <c r="G587" s="92"/>
      <c r="J587" s="73"/>
      <c r="O587" s="73"/>
      <c r="P587" s="73"/>
    </row>
    <row r="588" spans="2:16" ht="15" thickBot="1">
      <c r="B588" s="439"/>
      <c r="C588" s="83">
        <v>47382472.899999999</v>
      </c>
      <c r="D588" s="83">
        <v>72981414.959999993</v>
      </c>
      <c r="F588" s="88">
        <f t="shared" si="208"/>
        <v>-25598942.059999995</v>
      </c>
      <c r="G588" s="92">
        <f t="shared" si="209"/>
        <v>-0.35075973895587509</v>
      </c>
      <c r="H588" s="103" t="s">
        <v>237</v>
      </c>
      <c r="J588" s="73">
        <v>72981414.959999993</v>
      </c>
      <c r="K588" s="79">
        <f t="shared" ref="K588" si="212">+D588-J588</f>
        <v>0</v>
      </c>
      <c r="M588" s="131">
        <v>47382472.899999999</v>
      </c>
      <c r="N588" s="73">
        <v>72981414.959999993</v>
      </c>
      <c r="O588" s="73">
        <f t="shared" si="192"/>
        <v>0</v>
      </c>
      <c r="P588" s="73">
        <f t="shared" si="193"/>
        <v>0</v>
      </c>
    </row>
    <row r="589" spans="2:16" ht="15" thickBot="1">
      <c r="B589" s="112" t="s">
        <v>190</v>
      </c>
      <c r="C589" s="85">
        <v>167382472.90000001</v>
      </c>
      <c r="D589" s="85">
        <v>192981414.96000001</v>
      </c>
      <c r="O589" s="73"/>
      <c r="P589" s="73"/>
    </row>
    <row r="590" spans="2:16">
      <c r="B590" s="76" t="s">
        <v>514</v>
      </c>
      <c r="C590" s="134"/>
      <c r="D590" s="134"/>
      <c r="O590" s="73"/>
      <c r="P590" s="73"/>
    </row>
    <row r="591" spans="2:16">
      <c r="B591" s="81" t="s">
        <v>515</v>
      </c>
      <c r="C591" s="79">
        <v>1738072.19</v>
      </c>
      <c r="D591" s="79">
        <v>2771298.4</v>
      </c>
      <c r="F591" s="88">
        <f t="shared" ref="F591:F593" si="213">+C591-D591</f>
        <v>-1033226.21</v>
      </c>
      <c r="G591" s="92">
        <f t="shared" ref="G591:G593" si="214">+F591/D591</f>
        <v>-0.37283109245832208</v>
      </c>
      <c r="H591" s="103" t="s">
        <v>238</v>
      </c>
      <c r="J591" s="73">
        <v>2771298.4</v>
      </c>
      <c r="K591" s="79">
        <f t="shared" ref="K591:K593" si="215">+D591-J591</f>
        <v>0</v>
      </c>
      <c r="M591" s="131">
        <v>1738072.19</v>
      </c>
      <c r="N591" s="73">
        <v>2771298.4</v>
      </c>
      <c r="O591" s="73">
        <f t="shared" si="192"/>
        <v>0</v>
      </c>
      <c r="P591" s="73">
        <f t="shared" si="193"/>
        <v>0</v>
      </c>
    </row>
    <row r="592" spans="2:16">
      <c r="B592" s="81" t="s">
        <v>516</v>
      </c>
      <c r="C592" s="79">
        <v>48573909.049999997</v>
      </c>
      <c r="D592" s="79">
        <v>67035703.329999998</v>
      </c>
      <c r="F592" s="88">
        <f t="shared" si="213"/>
        <v>-18461794.280000001</v>
      </c>
      <c r="G592" s="92">
        <f t="shared" si="214"/>
        <v>-0.2754024104008756</v>
      </c>
      <c r="H592" s="103" t="s">
        <v>237</v>
      </c>
      <c r="J592" s="73">
        <v>67035703.329999998</v>
      </c>
      <c r="K592" s="79">
        <f t="shared" si="215"/>
        <v>0</v>
      </c>
      <c r="M592" s="131">
        <v>48573909.049999997</v>
      </c>
      <c r="N592" s="73">
        <v>67035703.329999998</v>
      </c>
      <c r="O592" s="73">
        <f t="shared" si="192"/>
        <v>0</v>
      </c>
      <c r="P592" s="73">
        <f t="shared" si="193"/>
        <v>0</v>
      </c>
    </row>
    <row r="593" spans="2:16" ht="15" thickBot="1">
      <c r="B593" s="82" t="s">
        <v>517</v>
      </c>
      <c r="C593" s="83">
        <v>353427148.26999998</v>
      </c>
      <c r="D593" s="83">
        <v>386707531.69999999</v>
      </c>
      <c r="F593" s="88">
        <f t="shared" si="213"/>
        <v>-33280383.430000007</v>
      </c>
      <c r="G593" s="92">
        <f t="shared" si="214"/>
        <v>-8.6060861767280672E-2</v>
      </c>
      <c r="J593" s="73">
        <v>386707531.69999999</v>
      </c>
      <c r="K593" s="79">
        <f t="shared" si="215"/>
        <v>0</v>
      </c>
      <c r="M593" s="131">
        <v>353427148.26999998</v>
      </c>
      <c r="N593" s="73">
        <v>386707531.69999999</v>
      </c>
      <c r="O593" s="73">
        <f t="shared" si="192"/>
        <v>0</v>
      </c>
      <c r="P593" s="73">
        <f t="shared" si="193"/>
        <v>0</v>
      </c>
    </row>
    <row r="594" spans="2:16" ht="15" thickBot="1">
      <c r="B594" s="112" t="s">
        <v>190</v>
      </c>
      <c r="C594" s="85">
        <v>403739129.50999999</v>
      </c>
      <c r="D594" s="85">
        <v>456514533.43000001</v>
      </c>
      <c r="O594" s="73"/>
      <c r="P594" s="73"/>
    </row>
    <row r="595" spans="2:16">
      <c r="B595" s="76" t="s">
        <v>518</v>
      </c>
      <c r="C595" s="77"/>
      <c r="D595" s="77"/>
      <c r="O595" s="73"/>
      <c r="P595" s="73"/>
    </row>
    <row r="596" spans="2:16">
      <c r="B596" s="81" t="s">
        <v>519</v>
      </c>
      <c r="C596" s="79">
        <v>954989427.32000005</v>
      </c>
      <c r="D596" s="79">
        <v>942893453.51999998</v>
      </c>
      <c r="F596" s="88">
        <f t="shared" ref="F596:F599" si="216">+C596-D596</f>
        <v>12095973.800000072</v>
      </c>
      <c r="G596" s="92">
        <f t="shared" ref="G596:G599" si="217">+F596/D596</f>
        <v>1.2828569076223309E-2</v>
      </c>
      <c r="J596" s="73">
        <v>942893453.51999998</v>
      </c>
      <c r="K596" s="79">
        <f t="shared" ref="K596:K599" si="218">+D596-J596</f>
        <v>0</v>
      </c>
      <c r="M596" s="131">
        <v>954989427.32000005</v>
      </c>
      <c r="N596" s="73">
        <v>942893453.51999998</v>
      </c>
      <c r="O596" s="73">
        <f t="shared" si="192"/>
        <v>0</v>
      </c>
      <c r="P596" s="73">
        <f t="shared" si="193"/>
        <v>0</v>
      </c>
    </row>
    <row r="597" spans="2:16">
      <c r="B597" s="81" t="s">
        <v>520</v>
      </c>
      <c r="C597" s="79">
        <v>114652619.94</v>
      </c>
      <c r="D597" s="79">
        <v>80648379.799999997</v>
      </c>
      <c r="F597" s="88">
        <f t="shared" si="216"/>
        <v>34004240.140000001</v>
      </c>
      <c r="G597" s="92">
        <f t="shared" si="217"/>
        <v>0.42163575045558449</v>
      </c>
      <c r="H597" s="103" t="s">
        <v>237</v>
      </c>
      <c r="J597" s="73">
        <v>80648379.799999997</v>
      </c>
      <c r="K597" s="79">
        <f t="shared" si="218"/>
        <v>0</v>
      </c>
      <c r="M597" s="131">
        <v>114652619.94</v>
      </c>
      <c r="N597" s="73">
        <v>80648379.799999997</v>
      </c>
      <c r="O597" s="73">
        <f t="shared" si="192"/>
        <v>0</v>
      </c>
      <c r="P597" s="73">
        <f t="shared" si="193"/>
        <v>0</v>
      </c>
    </row>
    <row r="598" spans="2:16">
      <c r="B598" s="81" t="s">
        <v>521</v>
      </c>
      <c r="C598" s="79">
        <v>80266026.939999998</v>
      </c>
      <c r="D598" s="79">
        <v>108804269.67</v>
      </c>
      <c r="F598" s="88">
        <f t="shared" si="216"/>
        <v>-28538242.730000004</v>
      </c>
      <c r="G598" s="92">
        <f t="shared" si="217"/>
        <v>-0.26228973197978001</v>
      </c>
      <c r="J598" s="73">
        <v>108804269.67</v>
      </c>
      <c r="K598" s="79">
        <f t="shared" si="218"/>
        <v>0</v>
      </c>
      <c r="M598" s="131">
        <v>80266026.939999998</v>
      </c>
      <c r="N598" s="73">
        <v>108804269.67</v>
      </c>
      <c r="O598" s="73">
        <f t="shared" si="192"/>
        <v>0</v>
      </c>
      <c r="P598" s="73">
        <f t="shared" si="193"/>
        <v>0</v>
      </c>
    </row>
    <row r="599" spans="2:16" ht="15" thickBot="1">
      <c r="B599" s="82" t="s">
        <v>522</v>
      </c>
      <c r="C599" s="83">
        <v>998614920.38</v>
      </c>
      <c r="D599" s="83">
        <v>1057599339.84</v>
      </c>
      <c r="F599" s="88">
        <f t="shared" si="216"/>
        <v>-58984419.460000038</v>
      </c>
      <c r="G599" s="92">
        <f t="shared" si="217"/>
        <v>-5.5771989673257132E-2</v>
      </c>
      <c r="J599" s="73">
        <v>1057446342.24</v>
      </c>
      <c r="K599" s="79">
        <f t="shared" si="218"/>
        <v>152997.60000002384</v>
      </c>
      <c r="M599" s="131">
        <v>998614920.38</v>
      </c>
      <c r="N599" s="73">
        <v>1057599339.84</v>
      </c>
      <c r="O599" s="73">
        <f t="shared" si="192"/>
        <v>0</v>
      </c>
      <c r="P599" s="73">
        <f t="shared" si="193"/>
        <v>0</v>
      </c>
    </row>
    <row r="600" spans="2:16" ht="15" thickBot="1">
      <c r="B600" s="112" t="s">
        <v>190</v>
      </c>
      <c r="C600" s="85">
        <v>2148522994.5799999</v>
      </c>
      <c r="D600" s="85">
        <v>2189945442.8299999</v>
      </c>
      <c r="O600" s="73"/>
      <c r="P600" s="73"/>
    </row>
    <row r="601" spans="2:16">
      <c r="B601" s="76" t="s">
        <v>523</v>
      </c>
      <c r="C601" s="77"/>
      <c r="D601" s="77"/>
      <c r="O601" s="73"/>
      <c r="P601" s="73"/>
    </row>
    <row r="602" spans="2:16" ht="27.6">
      <c r="B602" s="81" t="s">
        <v>524</v>
      </c>
      <c r="C602" s="79">
        <v>162334368.44999999</v>
      </c>
      <c r="D602" s="79">
        <v>163089409.50999999</v>
      </c>
      <c r="F602" s="88">
        <f t="shared" ref="F602:F605" si="219">+C602-D602</f>
        <v>-755041.06000000238</v>
      </c>
      <c r="G602" s="92">
        <f t="shared" ref="G602:G605" si="220">+F602/D602</f>
        <v>-4.6296142850017876E-3</v>
      </c>
      <c r="J602" s="73">
        <v>163089409.50999999</v>
      </c>
      <c r="K602" s="79">
        <f t="shared" ref="K602:K605" si="221">+D602-J602</f>
        <v>0</v>
      </c>
      <c r="M602" s="131">
        <v>162334368.44999999</v>
      </c>
      <c r="N602" s="73">
        <v>163089409.50999999</v>
      </c>
      <c r="O602" s="73">
        <f t="shared" si="192"/>
        <v>0</v>
      </c>
      <c r="P602" s="73">
        <f t="shared" si="193"/>
        <v>0</v>
      </c>
    </row>
    <row r="603" spans="2:16" ht="27.6">
      <c r="B603" s="81" t="s">
        <v>525</v>
      </c>
      <c r="C603" s="79">
        <v>13865365.779999999</v>
      </c>
      <c r="D603" s="79">
        <v>22998732.940000001</v>
      </c>
      <c r="F603" s="88">
        <f t="shared" si="219"/>
        <v>-9133367.160000002</v>
      </c>
      <c r="G603" s="92">
        <f t="shared" si="220"/>
        <v>-0.39712479743242768</v>
      </c>
      <c r="H603" s="103" t="s">
        <v>237</v>
      </c>
      <c r="J603" s="73">
        <v>14224502.75</v>
      </c>
      <c r="K603" s="79">
        <f t="shared" si="221"/>
        <v>8774230.1900000013</v>
      </c>
      <c r="M603" s="131">
        <v>13865365.779999999</v>
      </c>
      <c r="N603" s="73">
        <v>22998732.940000001</v>
      </c>
      <c r="O603" s="73">
        <f t="shared" si="192"/>
        <v>0</v>
      </c>
      <c r="P603" s="73">
        <f t="shared" si="193"/>
        <v>0</v>
      </c>
    </row>
    <row r="604" spans="2:16" ht="27.6">
      <c r="B604" s="81" t="s">
        <v>526</v>
      </c>
      <c r="C604" s="79">
        <v>6969532.8899999997</v>
      </c>
      <c r="D604" s="79">
        <v>13816855.18</v>
      </c>
      <c r="F604" s="88">
        <f t="shared" si="219"/>
        <v>-6847322.29</v>
      </c>
      <c r="G604" s="92">
        <f t="shared" si="220"/>
        <v>-0.49557748132958285</v>
      </c>
      <c r="H604" s="103" t="s">
        <v>237</v>
      </c>
      <c r="J604" s="73">
        <v>13816855.18</v>
      </c>
      <c r="K604" s="79">
        <f t="shared" si="221"/>
        <v>0</v>
      </c>
      <c r="M604" s="131">
        <v>6969532.8899999997</v>
      </c>
      <c r="N604" s="73">
        <v>13816855.18</v>
      </c>
      <c r="O604" s="73">
        <f t="shared" si="192"/>
        <v>0</v>
      </c>
      <c r="P604" s="73">
        <f t="shared" si="193"/>
        <v>0</v>
      </c>
    </row>
    <row r="605" spans="2:16" ht="27.6">
      <c r="B605" s="81" t="s">
        <v>527</v>
      </c>
      <c r="C605" s="79">
        <v>1816972.43</v>
      </c>
      <c r="D605" s="79">
        <v>2317029</v>
      </c>
      <c r="F605" s="88">
        <f t="shared" si="219"/>
        <v>-500056.57000000007</v>
      </c>
      <c r="G605" s="92">
        <f t="shared" si="220"/>
        <v>-0.21581800227791714</v>
      </c>
      <c r="J605" s="73">
        <v>2317029</v>
      </c>
      <c r="K605" s="79">
        <f t="shared" si="221"/>
        <v>0</v>
      </c>
      <c r="M605" s="131">
        <v>1816972.43</v>
      </c>
      <c r="N605" s="73">
        <v>2317029</v>
      </c>
      <c r="O605" s="73">
        <f t="shared" si="192"/>
        <v>0</v>
      </c>
      <c r="P605" s="73">
        <f t="shared" si="193"/>
        <v>0</v>
      </c>
    </row>
    <row r="606" spans="2:16" ht="27.6">
      <c r="B606" s="81" t="s">
        <v>528</v>
      </c>
      <c r="C606" s="77" t="s">
        <v>445</v>
      </c>
      <c r="D606" s="77" t="s">
        <v>445</v>
      </c>
      <c r="O606" s="73"/>
      <c r="P606" s="73"/>
    </row>
    <row r="607" spans="2:16" ht="42" thickBot="1">
      <c r="B607" s="82" t="s">
        <v>529</v>
      </c>
      <c r="C607" s="99" t="s">
        <v>445</v>
      </c>
      <c r="D607" s="99" t="s">
        <v>445</v>
      </c>
      <c r="O607" s="73"/>
      <c r="P607" s="73"/>
    </row>
    <row r="608" spans="2:16" ht="15" thickBot="1">
      <c r="B608" s="112" t="s">
        <v>190</v>
      </c>
      <c r="C608" s="85">
        <v>184986239.55000001</v>
      </c>
      <c r="D608" s="85">
        <v>202222026.63</v>
      </c>
      <c r="O608" s="73"/>
      <c r="P608" s="73"/>
    </row>
    <row r="609" spans="2:16">
      <c r="B609" s="430" t="s">
        <v>530</v>
      </c>
      <c r="C609" s="430"/>
      <c r="D609" s="430"/>
      <c r="O609" s="73"/>
      <c r="P609" s="73"/>
    </row>
    <row r="610" spans="2:16">
      <c r="B610" s="81" t="s">
        <v>531</v>
      </c>
      <c r="C610" s="79">
        <v>16110383.67</v>
      </c>
      <c r="D610" s="79">
        <v>34264704.969999999</v>
      </c>
      <c r="F610" s="88">
        <f t="shared" ref="F610:F612" si="222">+C610-D610</f>
        <v>-18154321.299999997</v>
      </c>
      <c r="G610" s="92">
        <f t="shared" ref="G610:G612" si="223">+F610/D610</f>
        <v>-0.52982570011604557</v>
      </c>
      <c r="H610" s="103" t="s">
        <v>237</v>
      </c>
      <c r="J610" s="73">
        <v>34264704.969999999</v>
      </c>
      <c r="K610" s="79">
        <f t="shared" ref="K610:K612" si="224">+D610-J610</f>
        <v>0</v>
      </c>
      <c r="M610" s="131">
        <v>16110383.67</v>
      </c>
      <c r="N610" s="73">
        <v>34264704.969999999</v>
      </c>
      <c r="O610" s="73">
        <f t="shared" si="192"/>
        <v>0</v>
      </c>
      <c r="P610" s="73">
        <f t="shared" si="193"/>
        <v>0</v>
      </c>
    </row>
    <row r="611" spans="2:16">
      <c r="B611" s="81" t="s">
        <v>532</v>
      </c>
      <c r="C611" s="79">
        <v>1232915.28</v>
      </c>
      <c r="D611" s="79">
        <v>1213599.75</v>
      </c>
      <c r="F611" s="88">
        <f t="shared" si="222"/>
        <v>19315.530000000028</v>
      </c>
      <c r="G611" s="92">
        <f t="shared" si="223"/>
        <v>1.5915898136926964E-2</v>
      </c>
      <c r="J611" s="73">
        <v>1318599.75</v>
      </c>
      <c r="K611" s="79">
        <f t="shared" si="224"/>
        <v>-105000</v>
      </c>
      <c r="M611" s="131">
        <v>1232915.28</v>
      </c>
      <c r="N611" s="73">
        <v>1213599.75</v>
      </c>
      <c r="O611" s="73">
        <f t="shared" si="192"/>
        <v>0</v>
      </c>
      <c r="P611" s="73">
        <f t="shared" si="193"/>
        <v>0</v>
      </c>
    </row>
    <row r="612" spans="2:16" ht="15" thickBot="1">
      <c r="B612" s="82" t="s">
        <v>533</v>
      </c>
      <c r="C612" s="83">
        <v>39306015.340000004</v>
      </c>
      <c r="D612" s="83">
        <v>23077901.57</v>
      </c>
      <c r="F612" s="88">
        <f t="shared" si="222"/>
        <v>16228113.770000003</v>
      </c>
      <c r="G612" s="92">
        <f t="shared" si="223"/>
        <v>0.70318844721548068</v>
      </c>
      <c r="H612" s="103" t="s">
        <v>237</v>
      </c>
      <c r="J612" s="73">
        <v>23077901.57</v>
      </c>
      <c r="K612" s="79">
        <f t="shared" si="224"/>
        <v>0</v>
      </c>
      <c r="M612" s="131">
        <v>39306015.340000004</v>
      </c>
      <c r="N612" s="73">
        <v>23077901.57</v>
      </c>
      <c r="O612" s="73">
        <f t="shared" si="192"/>
        <v>0</v>
      </c>
      <c r="P612" s="73">
        <f t="shared" si="193"/>
        <v>0</v>
      </c>
    </row>
    <row r="613" spans="2:16" ht="15" thickBot="1">
      <c r="B613" s="112" t="s">
        <v>190</v>
      </c>
      <c r="C613" s="85">
        <v>56649314.289999999</v>
      </c>
      <c r="D613" s="85">
        <v>58556206.289999999</v>
      </c>
      <c r="O613" s="73"/>
      <c r="P613" s="73"/>
    </row>
    <row r="614" spans="2:16">
      <c r="B614" s="430" t="s">
        <v>534</v>
      </c>
      <c r="C614" s="430"/>
      <c r="D614" s="134"/>
      <c r="O614" s="73"/>
      <c r="P614" s="73"/>
    </row>
    <row r="615" spans="2:16">
      <c r="B615" s="81" t="s">
        <v>535</v>
      </c>
      <c r="C615" s="79">
        <v>25503241.789999999</v>
      </c>
      <c r="D615" s="79">
        <v>27700556.129999999</v>
      </c>
      <c r="F615" s="88">
        <f t="shared" ref="F615:F622" si="225">+C615-D615</f>
        <v>-2197314.34</v>
      </c>
      <c r="G615" s="92">
        <f t="shared" ref="G615:G622" si="226">+F615/D615</f>
        <v>-7.9323834860495268E-2</v>
      </c>
      <c r="J615" s="73">
        <v>27700556.129999999</v>
      </c>
      <c r="K615" s="79">
        <f t="shared" ref="K615:K622" si="227">+D615-J615</f>
        <v>0</v>
      </c>
      <c r="M615" s="131">
        <v>25503241.789999999</v>
      </c>
      <c r="N615" s="73">
        <v>27700556.129999999</v>
      </c>
      <c r="O615" s="73">
        <f t="shared" si="192"/>
        <v>0</v>
      </c>
      <c r="P615" s="73">
        <f t="shared" si="193"/>
        <v>0</v>
      </c>
    </row>
    <row r="616" spans="2:16" ht="27.6">
      <c r="B616" s="81" t="s">
        <v>536</v>
      </c>
      <c r="C616" s="79">
        <v>16746096.699999999</v>
      </c>
      <c r="D616" s="79">
        <v>27710328.280000001</v>
      </c>
      <c r="F616" s="88">
        <f t="shared" si="225"/>
        <v>-10964231.580000002</v>
      </c>
      <c r="G616" s="92">
        <f t="shared" si="226"/>
        <v>-0.39567310315531207</v>
      </c>
      <c r="H616" s="103" t="s">
        <v>237</v>
      </c>
      <c r="J616" s="73">
        <v>27432725.079999998</v>
      </c>
      <c r="K616" s="79">
        <f t="shared" si="227"/>
        <v>277603.20000000298</v>
      </c>
      <c r="M616" s="131">
        <v>16746096.699999999</v>
      </c>
      <c r="N616" s="73">
        <v>27710328.280000001</v>
      </c>
      <c r="O616" s="73">
        <f t="shared" ref="O616:O622" si="228">+C616-M616</f>
        <v>0</v>
      </c>
      <c r="P616" s="73">
        <f t="shared" ref="P616:P622" si="229">+D616-N616</f>
        <v>0</v>
      </c>
    </row>
    <row r="617" spans="2:16">
      <c r="B617" s="81" t="s">
        <v>537</v>
      </c>
      <c r="C617" s="79">
        <v>49074878.439999998</v>
      </c>
      <c r="D617" s="79">
        <v>50995573.700000003</v>
      </c>
      <c r="F617" s="88">
        <f t="shared" si="225"/>
        <v>-1920695.2600000054</v>
      </c>
      <c r="G617" s="92">
        <f t="shared" si="226"/>
        <v>-3.7663960235043009E-2</v>
      </c>
      <c r="J617" s="73">
        <v>50995573.700000003</v>
      </c>
      <c r="K617" s="79">
        <f t="shared" si="227"/>
        <v>0</v>
      </c>
      <c r="M617" s="131">
        <v>49074878.439999998</v>
      </c>
      <c r="N617" s="73">
        <v>50995573.700000003</v>
      </c>
      <c r="O617" s="73">
        <f t="shared" si="228"/>
        <v>0</v>
      </c>
      <c r="P617" s="73">
        <f t="shared" si="229"/>
        <v>0</v>
      </c>
    </row>
    <row r="618" spans="2:16">
      <c r="B618" s="81" t="s">
        <v>538</v>
      </c>
      <c r="C618" s="79">
        <v>85138844.200000003</v>
      </c>
      <c r="D618" s="79">
        <v>33294778.93</v>
      </c>
      <c r="F618" s="88">
        <f t="shared" si="225"/>
        <v>51844065.270000003</v>
      </c>
      <c r="G618" s="92">
        <f t="shared" si="226"/>
        <v>1.5571229765182888</v>
      </c>
      <c r="H618" s="103" t="s">
        <v>237</v>
      </c>
      <c r="J618" s="73">
        <v>33294778.93</v>
      </c>
      <c r="K618" s="79">
        <f t="shared" si="227"/>
        <v>0</v>
      </c>
      <c r="M618" s="131">
        <v>85138844.200000003</v>
      </c>
      <c r="N618" s="73">
        <v>33294778.93</v>
      </c>
      <c r="O618" s="73">
        <f t="shared" si="228"/>
        <v>0</v>
      </c>
      <c r="P618" s="73">
        <f t="shared" si="229"/>
        <v>0</v>
      </c>
    </row>
    <row r="619" spans="2:16" ht="27.6">
      <c r="B619" s="81" t="s">
        <v>539</v>
      </c>
      <c r="C619" s="101">
        <v>1644893.5</v>
      </c>
      <c r="D619" s="101">
        <v>660970</v>
      </c>
      <c r="F619" s="88">
        <f t="shared" si="225"/>
        <v>983923.5</v>
      </c>
      <c r="G619" s="92">
        <f t="shared" si="226"/>
        <v>1.4886053829977155</v>
      </c>
      <c r="H619" s="103" t="s">
        <v>237</v>
      </c>
      <c r="J619" s="73">
        <v>660970</v>
      </c>
      <c r="K619" s="79">
        <f t="shared" si="227"/>
        <v>0</v>
      </c>
      <c r="M619" s="131">
        <v>1644893.5</v>
      </c>
      <c r="N619" s="73">
        <v>660970</v>
      </c>
      <c r="O619" s="73">
        <f t="shared" si="228"/>
        <v>0</v>
      </c>
      <c r="P619" s="73">
        <f t="shared" si="229"/>
        <v>0</v>
      </c>
    </row>
    <row r="620" spans="2:16">
      <c r="B620" s="81" t="s">
        <v>540</v>
      </c>
      <c r="C620" s="79">
        <v>49769</v>
      </c>
      <c r="D620" s="79">
        <v>1359534.27</v>
      </c>
      <c r="F620" s="88">
        <f t="shared" si="225"/>
        <v>-1309765.27</v>
      </c>
      <c r="G620" s="92">
        <f t="shared" si="226"/>
        <v>-0.9633926109122648</v>
      </c>
      <c r="H620" s="103" t="s">
        <v>238</v>
      </c>
      <c r="J620" s="73">
        <v>1359534.27</v>
      </c>
      <c r="K620" s="79">
        <f t="shared" si="227"/>
        <v>0</v>
      </c>
      <c r="M620" s="131">
        <v>49769</v>
      </c>
      <c r="N620" s="73">
        <v>1359534.27</v>
      </c>
      <c r="O620" s="73">
        <f t="shared" si="228"/>
        <v>0</v>
      </c>
      <c r="P620" s="73">
        <f t="shared" si="229"/>
        <v>0</v>
      </c>
    </row>
    <row r="621" spans="2:16">
      <c r="B621" s="81" t="s">
        <v>541</v>
      </c>
      <c r="C621" s="79">
        <v>1155408081.8800001</v>
      </c>
      <c r="D621" s="79">
        <v>2003125139.4200001</v>
      </c>
      <c r="F621" s="88">
        <f t="shared" si="225"/>
        <v>-847717057.53999996</v>
      </c>
      <c r="G621" s="92">
        <f t="shared" si="226"/>
        <v>-0.42319725356023158</v>
      </c>
      <c r="H621" s="103" t="s">
        <v>237</v>
      </c>
      <c r="J621" s="73">
        <v>2003125139.4200001</v>
      </c>
      <c r="K621" s="79">
        <f t="shared" si="227"/>
        <v>0</v>
      </c>
      <c r="M621" s="131">
        <v>1155408081.8800001</v>
      </c>
      <c r="N621" s="73">
        <v>2003125139.4200001</v>
      </c>
      <c r="O621" s="73">
        <f t="shared" si="228"/>
        <v>0</v>
      </c>
      <c r="P621" s="73">
        <f t="shared" si="229"/>
        <v>0</v>
      </c>
    </row>
    <row r="622" spans="2:16" ht="28.2" thickBot="1">
      <c r="B622" s="82" t="s">
        <v>542</v>
      </c>
      <c r="C622" s="83">
        <v>861494692.16999996</v>
      </c>
      <c r="D622" s="83">
        <v>1862856275.3</v>
      </c>
      <c r="F622" s="88">
        <f t="shared" si="225"/>
        <v>-1001361583.13</v>
      </c>
      <c r="G622" s="92">
        <f t="shared" si="226"/>
        <v>-0.53754097748026086</v>
      </c>
      <c r="H622" s="103" t="s">
        <v>237</v>
      </c>
      <c r="J622" s="73">
        <v>1861903331.8900001</v>
      </c>
      <c r="K622" s="79">
        <f t="shared" si="227"/>
        <v>952943.40999984741</v>
      </c>
      <c r="M622" s="131">
        <v>861494692.16999996</v>
      </c>
      <c r="N622" s="73">
        <v>1862856275.3</v>
      </c>
      <c r="O622" s="73">
        <f t="shared" si="228"/>
        <v>0</v>
      </c>
      <c r="P622" s="73">
        <f t="shared" si="229"/>
        <v>0</v>
      </c>
    </row>
    <row r="623" spans="2:16" ht="15" thickBot="1">
      <c r="B623" s="112" t="s">
        <v>190</v>
      </c>
      <c r="C623" s="85">
        <v>2195060497.6799998</v>
      </c>
      <c r="D623" s="85">
        <v>4007703156.0300002</v>
      </c>
    </row>
    <row r="624" spans="2:16" ht="15" thickBot="1">
      <c r="B624" s="84" t="s">
        <v>35</v>
      </c>
      <c r="C624" s="145">
        <v>9231570380.2000008</v>
      </c>
      <c r="D624" s="85">
        <v>15753608791.41</v>
      </c>
      <c r="M624" s="131">
        <f>SUM(M552:M623)</f>
        <v>9148706507.2999973</v>
      </c>
      <c r="N624" s="131">
        <f>SUM(N552:N623)</f>
        <v>15753608791.409998</v>
      </c>
      <c r="O624" s="73">
        <f t="shared" ref="O624" si="230">+C624-M624</f>
        <v>82863872.900003433</v>
      </c>
      <c r="P624" s="73">
        <f t="shared" ref="P624" si="231">+D624-N624</f>
        <v>0</v>
      </c>
    </row>
    <row r="625" spans="2:4">
      <c r="B625" s="96" t="s">
        <v>156</v>
      </c>
      <c r="C625" s="73">
        <f>SUM(C629,C631,C633,C635,C637,C639,C641,C643,C645,C647,C649)</f>
        <v>9231570380.2000008</v>
      </c>
      <c r="D625" s="73">
        <f>SUM(D629,D631,D633,D635,D637,D639,D641,D643,D645,D647,D649)</f>
        <v>15753608791.41</v>
      </c>
    </row>
    <row r="626" spans="2:4">
      <c r="B626" s="96" t="s">
        <v>156</v>
      </c>
      <c r="C626" s="73">
        <f>+C624-C625</f>
        <v>0</v>
      </c>
      <c r="D626" s="73">
        <f>+D624-D625</f>
        <v>0</v>
      </c>
    </row>
    <row r="627" spans="2:4">
      <c r="B627" s="108" t="s">
        <v>168</v>
      </c>
      <c r="C627" s="73">
        <f>+M624</f>
        <v>9148706507.2999973</v>
      </c>
      <c r="D627" s="73">
        <f>+N624</f>
        <v>15753608791.409998</v>
      </c>
    </row>
    <row r="628" spans="2:4">
      <c r="B628" s="108" t="s">
        <v>168</v>
      </c>
      <c r="C628" s="154">
        <f>+C624-C627</f>
        <v>82863872.900003433</v>
      </c>
      <c r="D628" s="73">
        <f>+D624-D627</f>
        <v>0</v>
      </c>
    </row>
    <row r="629" spans="2:4">
      <c r="B629" s="96" t="s">
        <v>156</v>
      </c>
      <c r="C629" s="73">
        <f>SUM(C552:C567)</f>
        <v>3514122114.5</v>
      </c>
      <c r="D629" s="73">
        <f>SUM(D552:D567)</f>
        <v>8034550504.7200003</v>
      </c>
    </row>
    <row r="630" spans="2:4">
      <c r="B630" s="96" t="s">
        <v>156</v>
      </c>
      <c r="C630" s="73">
        <f>+C568-C629</f>
        <v>0</v>
      </c>
      <c r="D630" s="73">
        <f>+D568-D629</f>
        <v>0</v>
      </c>
    </row>
    <row r="631" spans="2:4">
      <c r="B631" s="96" t="s">
        <v>156</v>
      </c>
      <c r="C631" s="73">
        <f>SUM(C570:C571)</f>
        <v>527355183.38999999</v>
      </c>
      <c r="D631" s="73">
        <f>SUM(D570:D571)</f>
        <v>567744201.25</v>
      </c>
    </row>
    <row r="632" spans="2:4">
      <c r="B632" s="96" t="s">
        <v>156</v>
      </c>
      <c r="C632" s="73">
        <f>+C572-C631</f>
        <v>0</v>
      </c>
      <c r="D632" s="73">
        <f>+D572-D631</f>
        <v>0</v>
      </c>
    </row>
    <row r="633" spans="2:4">
      <c r="B633" s="96" t="s">
        <v>156</v>
      </c>
      <c r="C633" s="73">
        <f>SUM(C574:C577)</f>
        <v>28627433.800000001</v>
      </c>
      <c r="D633" s="73">
        <f>SUM(D574:D577)</f>
        <v>43115305.269999996</v>
      </c>
    </row>
    <row r="634" spans="2:4">
      <c r="B634" s="96" t="s">
        <v>156</v>
      </c>
      <c r="C634" s="73">
        <f>+C578-C633</f>
        <v>0</v>
      </c>
      <c r="D634" s="73">
        <f>+D578-D633</f>
        <v>0</v>
      </c>
    </row>
    <row r="635" spans="2:4">
      <c r="B635" s="96" t="s">
        <v>156</v>
      </c>
      <c r="C635" s="73">
        <f>SUM(C580:C581)</f>
        <v>5005000</v>
      </c>
      <c r="D635" s="73">
        <f>SUM(D580:D581)</f>
        <v>276000</v>
      </c>
    </row>
    <row r="636" spans="2:4">
      <c r="B636" s="96" t="s">
        <v>156</v>
      </c>
      <c r="C636" s="73">
        <f>+C582-C635</f>
        <v>0</v>
      </c>
      <c r="D636" s="73">
        <f>+D582-D635</f>
        <v>0</v>
      </c>
    </row>
    <row r="637" spans="2:4">
      <c r="B637" s="96" t="s">
        <v>156</v>
      </c>
      <c r="C637" s="73">
        <f>+C584</f>
        <v>120000</v>
      </c>
      <c r="D637" s="73">
        <f>+D584</f>
        <v>0</v>
      </c>
    </row>
    <row r="638" spans="2:4">
      <c r="B638" s="96" t="s">
        <v>156</v>
      </c>
      <c r="C638" s="73">
        <f>+C584-C637</f>
        <v>0</v>
      </c>
      <c r="D638" s="73">
        <f>+D584-D637</f>
        <v>0</v>
      </c>
    </row>
    <row r="639" spans="2:4">
      <c r="B639" s="96" t="s">
        <v>156</v>
      </c>
      <c r="C639" s="87">
        <f>SUM(C586:C588)</f>
        <v>167382472.90000001</v>
      </c>
      <c r="D639" s="87">
        <f>SUM(D586:D588)</f>
        <v>192981414.95999998</v>
      </c>
    </row>
    <row r="640" spans="2:4">
      <c r="B640" s="96" t="s">
        <v>156</v>
      </c>
      <c r="C640" s="136">
        <f>+C589-C639</f>
        <v>0</v>
      </c>
      <c r="D640" s="136">
        <f>+D589-D639</f>
        <v>0</v>
      </c>
    </row>
    <row r="641" spans="1:16">
      <c r="B641" s="96" t="s">
        <v>156</v>
      </c>
      <c r="C641" s="73">
        <f>SUM(C591:C593)</f>
        <v>403739129.50999999</v>
      </c>
      <c r="D641" s="73">
        <f>SUM(D591:D593)</f>
        <v>456514533.43000001</v>
      </c>
    </row>
    <row r="642" spans="1:16">
      <c r="B642" s="96" t="s">
        <v>156</v>
      </c>
      <c r="C642" s="73">
        <f>+C594-C641</f>
        <v>0</v>
      </c>
      <c r="D642" s="73">
        <f>+D594-D641</f>
        <v>0</v>
      </c>
    </row>
    <row r="643" spans="1:16">
      <c r="B643" s="96" t="s">
        <v>156</v>
      </c>
      <c r="C643" s="73">
        <f>SUM(C596:C599)</f>
        <v>2148522994.5799999</v>
      </c>
      <c r="D643" s="73">
        <f>SUM(D596:D599)</f>
        <v>2189945442.8299999</v>
      </c>
    </row>
    <row r="644" spans="1:16">
      <c r="B644" s="96" t="s">
        <v>156</v>
      </c>
      <c r="C644" s="73">
        <f>+C600-C643</f>
        <v>0</v>
      </c>
      <c r="D644" s="73">
        <f>+D600-D643</f>
        <v>0</v>
      </c>
    </row>
    <row r="645" spans="1:16">
      <c r="B645" s="96" t="s">
        <v>156</v>
      </c>
      <c r="C645" s="73">
        <f>SUM(C602:C607)</f>
        <v>184986239.54999998</v>
      </c>
      <c r="D645" s="73">
        <f>SUM(D602:D607)</f>
        <v>202222026.63</v>
      </c>
    </row>
    <row r="646" spans="1:16">
      <c r="B646" s="96" t="s">
        <v>156</v>
      </c>
      <c r="C646" s="73">
        <f>+C608-C645</f>
        <v>0</v>
      </c>
      <c r="D646" s="73">
        <f>+D608-D645</f>
        <v>0</v>
      </c>
    </row>
    <row r="647" spans="1:16">
      <c r="B647" s="96" t="s">
        <v>156</v>
      </c>
      <c r="C647" s="73">
        <f>SUM(C610:C612)</f>
        <v>56649314.290000007</v>
      </c>
      <c r="D647" s="73">
        <f>SUM(D610:D612)</f>
        <v>58556206.289999999</v>
      </c>
    </row>
    <row r="648" spans="1:16">
      <c r="B648" s="96" t="s">
        <v>156</v>
      </c>
      <c r="C648" s="73">
        <f>+C613-C647</f>
        <v>0</v>
      </c>
      <c r="D648" s="73">
        <f>+D613-D647</f>
        <v>0</v>
      </c>
    </row>
    <row r="649" spans="1:16">
      <c r="B649" s="96" t="s">
        <v>156</v>
      </c>
      <c r="C649" s="73">
        <f>SUM(C615:C622)</f>
        <v>2195060497.6800003</v>
      </c>
      <c r="D649" s="73">
        <f>SUM(D615:D622)</f>
        <v>4007703156.0299997</v>
      </c>
    </row>
    <row r="650" spans="1:16">
      <c r="B650" s="96" t="s">
        <v>156</v>
      </c>
      <c r="C650" s="73">
        <f>+C623-C649</f>
        <v>0</v>
      </c>
      <c r="D650" s="73">
        <f>+D623-D649</f>
        <v>0</v>
      </c>
    </row>
    <row r="652" spans="1:16" ht="15" thickBot="1">
      <c r="A652" s="175" t="s">
        <v>544</v>
      </c>
    </row>
    <row r="653" spans="1:16" ht="15" thickBot="1">
      <c r="B653" s="75" t="s">
        <v>144</v>
      </c>
      <c r="C653" s="75">
        <v>2022</v>
      </c>
      <c r="D653" s="75">
        <v>2021</v>
      </c>
      <c r="J653" s="154">
        <v>255450</v>
      </c>
      <c r="K653" s="169">
        <f>-J653</f>
        <v>-255450</v>
      </c>
      <c r="M653" s="133">
        <v>0</v>
      </c>
      <c r="N653" s="73">
        <v>255450</v>
      </c>
      <c r="O653" s="154">
        <v>0</v>
      </c>
      <c r="P653" s="154">
        <v>-255450</v>
      </c>
    </row>
    <row r="654" spans="1:16">
      <c r="B654" s="100" t="s">
        <v>545</v>
      </c>
      <c r="C654" s="79">
        <v>111555.57</v>
      </c>
      <c r="D654" s="77">
        <v>0</v>
      </c>
      <c r="F654" s="88">
        <f t="shared" ref="F654:F655" si="232">+C654-D654</f>
        <v>111555.57</v>
      </c>
      <c r="G654" s="92" t="e">
        <f t="shared" ref="G654:G655" si="233">+F654/D654</f>
        <v>#DIV/0!</v>
      </c>
      <c r="H654" s="103" t="s">
        <v>238</v>
      </c>
      <c r="N654" s="73"/>
      <c r="O654" s="186"/>
      <c r="P654" s="186"/>
    </row>
    <row r="655" spans="1:16" ht="15" thickBot="1">
      <c r="B655" s="98" t="s">
        <v>546</v>
      </c>
      <c r="C655" s="83">
        <v>180819458.87</v>
      </c>
      <c r="D655" s="170">
        <v>7571877.5899999999</v>
      </c>
      <c r="F655" s="88">
        <f t="shared" si="232"/>
        <v>173247581.28</v>
      </c>
      <c r="G655" s="92">
        <f t="shared" si="233"/>
        <v>22.880399111153618</v>
      </c>
      <c r="H655" s="103" t="s">
        <v>237</v>
      </c>
      <c r="J655" s="73">
        <v>7316427.5899999999</v>
      </c>
      <c r="K655" s="79">
        <f t="shared" ref="K655" si="234">+D655-J655</f>
        <v>255450</v>
      </c>
      <c r="M655" s="131">
        <v>180931014.44</v>
      </c>
      <c r="N655" s="73">
        <v>7316427.5899999999</v>
      </c>
      <c r="O655" s="154">
        <f>+C655-M655</f>
        <v>-111555.56999999285</v>
      </c>
      <c r="P655" s="154">
        <f t="shared" ref="P655:P656" si="235">+D655-N655</f>
        <v>255450</v>
      </c>
    </row>
    <row r="656" spans="1:16" ht="15" thickBot="1">
      <c r="B656" s="84" t="s">
        <v>35</v>
      </c>
      <c r="C656" s="85">
        <v>180931014.44</v>
      </c>
      <c r="D656" s="85">
        <v>7571877.5899999999</v>
      </c>
      <c r="M656" s="131">
        <f>SUM(M653:M655)</f>
        <v>180931014.44</v>
      </c>
      <c r="N656" s="131">
        <f>SUM(N653:N655)</f>
        <v>7571877.5899999999</v>
      </c>
      <c r="O656" s="73">
        <f t="shared" ref="O656" si="236">+C656-M656</f>
        <v>0</v>
      </c>
      <c r="P656" s="73">
        <f t="shared" si="235"/>
        <v>0</v>
      </c>
    </row>
    <row r="657" spans="1:16">
      <c r="B657" s="96" t="s">
        <v>156</v>
      </c>
      <c r="C657" s="73">
        <f>SUM(C654:C655)</f>
        <v>180931014.44</v>
      </c>
      <c r="D657" s="73">
        <f>SUM(D654:D655)</f>
        <v>7571877.5899999999</v>
      </c>
    </row>
    <row r="658" spans="1:16">
      <c r="B658" s="96" t="s">
        <v>156</v>
      </c>
      <c r="C658" s="73">
        <f>+C656-C657</f>
        <v>0</v>
      </c>
      <c r="D658" s="73">
        <f>+D656-D657</f>
        <v>0</v>
      </c>
    </row>
    <row r="659" spans="1:16">
      <c r="B659" s="108" t="s">
        <v>168</v>
      </c>
      <c r="C659" s="73">
        <f>+M656</f>
        <v>180931014.44</v>
      </c>
      <c r="D659" s="73">
        <f>+N656</f>
        <v>7571877.5899999999</v>
      </c>
    </row>
    <row r="660" spans="1:16">
      <c r="B660" s="108" t="s">
        <v>168</v>
      </c>
      <c r="C660" s="73">
        <f>+C656-C659</f>
        <v>0</v>
      </c>
      <c r="D660" s="73">
        <f>+D656-D659</f>
        <v>0</v>
      </c>
    </row>
    <row r="661" spans="1:16">
      <c r="C661" s="73">
        <v>253236809.02000001</v>
      </c>
    </row>
    <row r="662" spans="1:16">
      <c r="C662" s="73">
        <v>72417350.150000006</v>
      </c>
    </row>
    <row r="663" spans="1:16">
      <c r="C663" s="73">
        <f>+C661-C662</f>
        <v>180819458.87</v>
      </c>
    </row>
    <row r="665" spans="1:16" ht="15" thickBot="1">
      <c r="A665" s="175" t="s">
        <v>547</v>
      </c>
    </row>
    <row r="666" spans="1:16" ht="15" thickBot="1">
      <c r="B666" s="75" t="s">
        <v>144</v>
      </c>
      <c r="C666" s="75">
        <v>2022</v>
      </c>
      <c r="D666" s="75">
        <v>2021</v>
      </c>
    </row>
    <row r="667" spans="1:16">
      <c r="B667" s="76" t="s">
        <v>548</v>
      </c>
      <c r="C667" s="130"/>
      <c r="D667" s="130"/>
    </row>
    <row r="668" spans="1:16">
      <c r="B668" s="78" t="s">
        <v>549</v>
      </c>
      <c r="C668" s="79">
        <v>2504105.46</v>
      </c>
      <c r="D668" s="79">
        <v>2526160.12</v>
      </c>
      <c r="F668" s="88">
        <f t="shared" ref="F668:F674" si="237">+C668-D668</f>
        <v>-22054.660000000149</v>
      </c>
      <c r="G668" s="92">
        <f t="shared" ref="G668:G674" si="238">+F668/D668</f>
        <v>-8.7305075499331964E-3</v>
      </c>
      <c r="J668" s="73">
        <v>2526160.12</v>
      </c>
      <c r="K668" s="79">
        <f t="shared" ref="K668:K674" si="239">+D668-J668</f>
        <v>0</v>
      </c>
      <c r="M668" s="131">
        <v>2504105.46</v>
      </c>
      <c r="N668" s="73">
        <v>2526160.12</v>
      </c>
      <c r="O668" s="73">
        <f t="shared" ref="O668:O674" si="240">+C668-M668</f>
        <v>0</v>
      </c>
      <c r="P668" s="73">
        <f t="shared" ref="P668:P674" si="241">+D668-N668</f>
        <v>0</v>
      </c>
    </row>
    <row r="669" spans="1:16" ht="27.6">
      <c r="B669" s="78" t="s">
        <v>550</v>
      </c>
      <c r="C669" s="79">
        <v>779351332.65999997</v>
      </c>
      <c r="D669" s="79">
        <v>677180998.65999997</v>
      </c>
      <c r="F669" s="88">
        <f t="shared" si="237"/>
        <v>102170334</v>
      </c>
      <c r="G669" s="92">
        <f t="shared" si="238"/>
        <v>0.15087596108303952</v>
      </c>
      <c r="J669" s="73">
        <v>677180998.65999997</v>
      </c>
      <c r="K669" s="79">
        <f t="shared" si="239"/>
        <v>0</v>
      </c>
      <c r="M669" s="131">
        <v>779351332.65999997</v>
      </c>
      <c r="N669" s="73">
        <v>677180998.65999997</v>
      </c>
      <c r="O669" s="73">
        <f t="shared" si="240"/>
        <v>0</v>
      </c>
      <c r="P669" s="73">
        <f t="shared" si="241"/>
        <v>0</v>
      </c>
    </row>
    <row r="670" spans="1:16" ht="27.6">
      <c r="B670" s="78" t="s">
        <v>551</v>
      </c>
      <c r="C670" s="79">
        <v>509481333.88</v>
      </c>
      <c r="D670" s="79">
        <v>450096555.01999998</v>
      </c>
      <c r="F670" s="88">
        <f t="shared" si="237"/>
        <v>59384778.860000014</v>
      </c>
      <c r="G670" s="92">
        <f t="shared" si="238"/>
        <v>0.13193786577051508</v>
      </c>
      <c r="J670" s="73">
        <v>450096555.01999998</v>
      </c>
      <c r="K670" s="79">
        <f t="shared" si="239"/>
        <v>0</v>
      </c>
      <c r="M670" s="131">
        <v>509481333.88</v>
      </c>
      <c r="N670" s="73">
        <v>450096555.01999998</v>
      </c>
      <c r="O670" s="73">
        <f t="shared" si="240"/>
        <v>0</v>
      </c>
      <c r="P670" s="73">
        <f t="shared" si="241"/>
        <v>0</v>
      </c>
    </row>
    <row r="671" spans="1:16" ht="27.6">
      <c r="B671" s="78" t="s">
        <v>552</v>
      </c>
      <c r="C671" s="79">
        <v>100993522.73</v>
      </c>
      <c r="D671" s="79">
        <v>97783245.739999995</v>
      </c>
      <c r="F671" s="88">
        <f t="shared" si="237"/>
        <v>3210276.9900000095</v>
      </c>
      <c r="G671" s="92">
        <f t="shared" si="238"/>
        <v>3.2830542346036974E-2</v>
      </c>
      <c r="J671" s="73">
        <v>97783245.739999995</v>
      </c>
      <c r="K671" s="79">
        <f t="shared" si="239"/>
        <v>0</v>
      </c>
      <c r="M671" s="131">
        <v>100993522.73</v>
      </c>
      <c r="N671" s="73">
        <v>97783245.739999995</v>
      </c>
      <c r="O671" s="73">
        <f t="shared" si="240"/>
        <v>0</v>
      </c>
      <c r="P671" s="73">
        <f t="shared" si="241"/>
        <v>0</v>
      </c>
    </row>
    <row r="672" spans="1:16" ht="27.6">
      <c r="B672" s="78" t="s">
        <v>553</v>
      </c>
      <c r="C672" s="79">
        <v>3787941.45</v>
      </c>
      <c r="D672" s="79">
        <v>5246405.91</v>
      </c>
      <c r="F672" s="88">
        <f t="shared" si="237"/>
        <v>-1458464.46</v>
      </c>
      <c r="G672" s="92">
        <f t="shared" si="238"/>
        <v>-0.27799306516105993</v>
      </c>
      <c r="J672" s="73">
        <v>5246405.91</v>
      </c>
      <c r="K672" s="79">
        <f t="shared" si="239"/>
        <v>0</v>
      </c>
      <c r="M672" s="131">
        <v>3787941.45</v>
      </c>
      <c r="N672" s="73">
        <v>5246405.91</v>
      </c>
      <c r="O672" s="73">
        <f t="shared" si="240"/>
        <v>0</v>
      </c>
      <c r="P672" s="73">
        <f t="shared" si="241"/>
        <v>0</v>
      </c>
    </row>
    <row r="673" spans="1:16" ht="27.6">
      <c r="B673" s="78" t="s">
        <v>554</v>
      </c>
      <c r="C673" s="79">
        <v>63529775.469999999</v>
      </c>
      <c r="D673" s="79">
        <v>34267470.359999999</v>
      </c>
      <c r="F673" s="88">
        <f t="shared" si="237"/>
        <v>29262305.109999999</v>
      </c>
      <c r="G673" s="92">
        <f t="shared" si="238"/>
        <v>0.85393829198893922</v>
      </c>
      <c r="H673" s="103" t="s">
        <v>237</v>
      </c>
      <c r="J673" s="73">
        <v>34267470.359999999</v>
      </c>
      <c r="K673" s="79">
        <f t="shared" si="239"/>
        <v>0</v>
      </c>
      <c r="M673" s="131">
        <v>63529775.469999999</v>
      </c>
      <c r="N673" s="73">
        <v>34267470.359999999</v>
      </c>
      <c r="O673" s="73">
        <f t="shared" si="240"/>
        <v>0</v>
      </c>
      <c r="P673" s="73">
        <f t="shared" si="241"/>
        <v>0</v>
      </c>
    </row>
    <row r="674" spans="1:16" ht="28.2" thickBot="1">
      <c r="B674" s="187" t="s">
        <v>555</v>
      </c>
      <c r="C674" s="99">
        <v>0</v>
      </c>
      <c r="D674" s="83">
        <v>27908232.609999999</v>
      </c>
      <c r="F674" s="88">
        <f t="shared" si="237"/>
        <v>-27908232.609999999</v>
      </c>
      <c r="G674" s="92">
        <f t="shared" si="238"/>
        <v>-1</v>
      </c>
      <c r="H674" s="103" t="s">
        <v>238</v>
      </c>
      <c r="J674" s="73">
        <v>27908232.609999999</v>
      </c>
      <c r="K674" s="79">
        <f t="shared" si="239"/>
        <v>0</v>
      </c>
      <c r="M674" s="133">
        <v>0</v>
      </c>
      <c r="N674" s="73">
        <v>27908232.609999999</v>
      </c>
      <c r="O674" s="73">
        <f t="shared" si="240"/>
        <v>0</v>
      </c>
      <c r="P674" s="73">
        <f t="shared" si="241"/>
        <v>0</v>
      </c>
    </row>
    <row r="675" spans="1:16" ht="15" thickBot="1">
      <c r="B675" s="84" t="s">
        <v>35</v>
      </c>
      <c r="C675" s="85">
        <v>1459648011.6500001</v>
      </c>
      <c r="D675" s="85">
        <v>1295009068.4200001</v>
      </c>
      <c r="M675" s="131">
        <f>SUM(M668:M674)</f>
        <v>1459648011.6500001</v>
      </c>
      <c r="N675" s="131">
        <f>SUM(N668:N674)</f>
        <v>1295009068.4199998</v>
      </c>
    </row>
    <row r="676" spans="1:16">
      <c r="B676" s="96" t="s">
        <v>156</v>
      </c>
      <c r="C676" s="73">
        <f>SUM(C668:C674)</f>
        <v>1459648011.6500001</v>
      </c>
      <c r="D676" s="73">
        <f>SUM(D668:D674)</f>
        <v>1295009068.4199998</v>
      </c>
    </row>
    <row r="677" spans="1:16">
      <c r="B677" s="96" t="s">
        <v>156</v>
      </c>
      <c r="C677" s="73">
        <f>+C675-C676</f>
        <v>0</v>
      </c>
      <c r="D677" s="73">
        <f>+D675-D676</f>
        <v>0</v>
      </c>
    </row>
    <row r="678" spans="1:16">
      <c r="B678" s="108" t="s">
        <v>168</v>
      </c>
      <c r="C678" s="73">
        <f>+M675</f>
        <v>1459648011.6500001</v>
      </c>
      <c r="D678" s="73">
        <f>+N675</f>
        <v>1295009068.4199998</v>
      </c>
    </row>
    <row r="679" spans="1:16">
      <c r="B679" s="108" t="s">
        <v>168</v>
      </c>
      <c r="C679" s="73">
        <f>+C675-C678</f>
        <v>0</v>
      </c>
      <c r="D679" s="73">
        <f>+D675-D678</f>
        <v>0</v>
      </c>
    </row>
    <row r="682" spans="1:16" ht="15" thickBot="1">
      <c r="A682" s="175" t="s">
        <v>556</v>
      </c>
    </row>
    <row r="683" spans="1:16" ht="15" thickBot="1">
      <c r="B683" s="75" t="s">
        <v>144</v>
      </c>
      <c r="C683" s="75">
        <v>2022</v>
      </c>
      <c r="D683" s="75">
        <v>2021</v>
      </c>
    </row>
    <row r="684" spans="1:16">
      <c r="B684" s="76" t="s">
        <v>557</v>
      </c>
      <c r="C684" s="130"/>
      <c r="D684" s="130"/>
    </row>
    <row r="685" spans="1:16">
      <c r="B685" s="81" t="s">
        <v>558</v>
      </c>
      <c r="C685" s="79">
        <v>582382035.72000003</v>
      </c>
      <c r="D685" s="79">
        <v>447200735</v>
      </c>
      <c r="F685" s="88">
        <f t="shared" ref="F685" si="242">+C685-D685</f>
        <v>135181300.72000003</v>
      </c>
      <c r="G685" s="92">
        <f t="shared" ref="G685" si="243">+F685/D685</f>
        <v>0.3022832704422993</v>
      </c>
      <c r="H685" s="103" t="s">
        <v>237</v>
      </c>
      <c r="J685" s="73">
        <v>447200735</v>
      </c>
      <c r="K685" s="79">
        <f t="shared" ref="K685" si="244">+D685-J685</f>
        <v>0</v>
      </c>
      <c r="M685" s="131">
        <v>582382035.72000003</v>
      </c>
      <c r="N685" s="73">
        <v>447200735</v>
      </c>
      <c r="O685" s="73">
        <f t="shared" ref="O685" si="245">+C685-M685</f>
        <v>0</v>
      </c>
      <c r="P685" s="73">
        <f t="shared" ref="P685" si="246">+D685-N685</f>
        <v>0</v>
      </c>
    </row>
    <row r="686" spans="1:16">
      <c r="B686" s="76" t="s">
        <v>559</v>
      </c>
      <c r="C686" s="80"/>
      <c r="D686" s="80"/>
    </row>
    <row r="687" spans="1:16" ht="42" thickBot="1">
      <c r="B687" s="82" t="s">
        <v>560</v>
      </c>
      <c r="C687" s="83">
        <v>606022805.14999998</v>
      </c>
      <c r="D687" s="83">
        <v>133747135.28</v>
      </c>
      <c r="F687" s="88">
        <f t="shared" ref="F687" si="247">+C687-D687</f>
        <v>472275669.87</v>
      </c>
      <c r="G687" s="92">
        <f t="shared" ref="G687" si="248">+F687/D687</f>
        <v>3.5311086766926976</v>
      </c>
      <c r="H687" s="103" t="s">
        <v>237</v>
      </c>
      <c r="J687" s="73">
        <v>133747135.28</v>
      </c>
      <c r="K687" s="79">
        <f t="shared" ref="K687" si="249">+D687-J687</f>
        <v>0</v>
      </c>
      <c r="M687" s="131">
        <v>606022805.14999998</v>
      </c>
      <c r="N687" s="73">
        <v>133747135.28</v>
      </c>
      <c r="O687" s="73">
        <f t="shared" ref="O687" si="250">+C687-M687</f>
        <v>0</v>
      </c>
      <c r="P687" s="73">
        <f t="shared" ref="P687" si="251">+D687-N687</f>
        <v>0</v>
      </c>
    </row>
    <row r="688" spans="1:16" ht="15" thickBot="1">
      <c r="B688" s="84" t="s">
        <v>35</v>
      </c>
      <c r="C688" s="85">
        <v>1188404840.8699999</v>
      </c>
      <c r="D688" s="85">
        <v>580947870.27999997</v>
      </c>
      <c r="F688" s="87" t="s">
        <v>563</v>
      </c>
      <c r="M688" s="131">
        <f>SUM(M685:M687)</f>
        <v>1188404840.8699999</v>
      </c>
      <c r="N688" s="131">
        <f>SUM(N685:N687)</f>
        <v>580947870.27999997</v>
      </c>
    </row>
    <row r="689" spans="1:6">
      <c r="B689" s="96" t="s">
        <v>156</v>
      </c>
      <c r="C689" s="73">
        <f>SUM(C684:C687)</f>
        <v>1188404840.8699999</v>
      </c>
      <c r="D689" s="73">
        <f>SUM(D684:D687)</f>
        <v>580947870.27999997</v>
      </c>
    </row>
    <row r="690" spans="1:6">
      <c r="B690" s="96" t="s">
        <v>156</v>
      </c>
      <c r="C690" s="73">
        <f>+C688-C689</f>
        <v>0</v>
      </c>
      <c r="D690" s="73">
        <f>+D688-D689</f>
        <v>0</v>
      </c>
    </row>
    <row r="691" spans="1:6">
      <c r="B691" s="108" t="s">
        <v>168</v>
      </c>
      <c r="C691" s="73">
        <f>+M688</f>
        <v>1188404840.8699999</v>
      </c>
      <c r="D691" s="73">
        <f>+N688</f>
        <v>580947870.27999997</v>
      </c>
    </row>
    <row r="692" spans="1:6">
      <c r="B692" s="108" t="s">
        <v>168</v>
      </c>
      <c r="C692" s="73">
        <f>+C688-C691</f>
        <v>0</v>
      </c>
      <c r="D692" s="73">
        <f>+D688-D691</f>
        <v>0</v>
      </c>
    </row>
    <row r="694" spans="1:6" ht="15" thickBot="1">
      <c r="A694" s="175" t="s">
        <v>564</v>
      </c>
    </row>
    <row r="695" spans="1:6" ht="15" thickBot="1">
      <c r="B695" s="121" t="s">
        <v>64</v>
      </c>
      <c r="C695" s="121">
        <v>2022</v>
      </c>
    </row>
    <row r="696" spans="1:6">
      <c r="B696" s="76" t="s">
        <v>565</v>
      </c>
      <c r="C696" s="113">
        <v>2251455168.3200002</v>
      </c>
      <c r="D696" s="136">
        <f>+SFPe!D29</f>
        <v>2483985381.4899998</v>
      </c>
      <c r="F696" s="87">
        <f>+C696-D696</f>
        <v>-232530213.1699996</v>
      </c>
    </row>
    <row r="697" spans="1:6">
      <c r="B697" s="100" t="s">
        <v>566</v>
      </c>
      <c r="C697" s="79">
        <v>-28178905.449999999</v>
      </c>
      <c r="D697" s="73">
        <f>+-C469</f>
        <v>-28178905.449999999</v>
      </c>
      <c r="F697" s="87">
        <f t="shared" ref="F697:F708" si="252">+C697-D697</f>
        <v>0</v>
      </c>
    </row>
    <row r="698" spans="1:6">
      <c r="B698" s="100" t="s">
        <v>567</v>
      </c>
      <c r="C698" s="147"/>
      <c r="F698" s="87">
        <f t="shared" si="252"/>
        <v>0</v>
      </c>
    </row>
    <row r="699" spans="1:6">
      <c r="B699" s="100" t="s">
        <v>336</v>
      </c>
      <c r="C699" s="79">
        <v>1459648011.6500001</v>
      </c>
      <c r="D699" s="73">
        <f>+C675</f>
        <v>1459648011.6500001</v>
      </c>
      <c r="F699" s="87">
        <f t="shared" si="252"/>
        <v>0</v>
      </c>
    </row>
    <row r="700" spans="1:6">
      <c r="B700" s="100" t="s">
        <v>568</v>
      </c>
      <c r="C700" s="79">
        <v>-134578729.49000001</v>
      </c>
      <c r="D700" s="73">
        <f>-C478</f>
        <v>-217442602.38999999</v>
      </c>
      <c r="F700" s="87">
        <f t="shared" si="252"/>
        <v>82863872.899999976</v>
      </c>
    </row>
    <row r="701" spans="1:6">
      <c r="B701" s="100" t="s">
        <v>569</v>
      </c>
      <c r="C701" s="79">
        <v>-4921063.93</v>
      </c>
      <c r="D701" s="73">
        <f>-C487</f>
        <v>-4921062.93</v>
      </c>
      <c r="F701" s="87">
        <f t="shared" si="252"/>
        <v>-1</v>
      </c>
    </row>
    <row r="702" spans="1:6">
      <c r="B702" s="100" t="s">
        <v>570</v>
      </c>
      <c r="C702" s="79">
        <v>-2470731655.0799999</v>
      </c>
      <c r="D702" s="136" t="e">
        <f>+SFPo!#REF!</f>
        <v>#REF!</v>
      </c>
      <c r="F702" s="87" t="e">
        <f t="shared" si="252"/>
        <v>#REF!</v>
      </c>
    </row>
    <row r="703" spans="1:6">
      <c r="B703" s="100" t="s">
        <v>571</v>
      </c>
      <c r="C703" s="79">
        <v>-5164207.04</v>
      </c>
      <c r="D703" s="136" t="e">
        <f>-SFPo!#REF!</f>
        <v>#REF!</v>
      </c>
      <c r="F703" s="87" t="e">
        <f t="shared" si="252"/>
        <v>#REF!</v>
      </c>
    </row>
    <row r="704" spans="1:6">
      <c r="B704" s="100" t="s">
        <v>572</v>
      </c>
      <c r="C704" s="79">
        <v>-4360934315.2600002</v>
      </c>
      <c r="D704" s="136" t="e">
        <f>-SFPo!#REF!</f>
        <v>#REF!</v>
      </c>
      <c r="F704" s="87" t="e">
        <f t="shared" si="252"/>
        <v>#REF!</v>
      </c>
    </row>
    <row r="705" spans="2:6">
      <c r="B705" s="100" t="s">
        <v>573</v>
      </c>
      <c r="C705" s="79">
        <v>-624635203.38</v>
      </c>
      <c r="D705" s="136" t="e">
        <f>+-SFPo!#REF!</f>
        <v>#REF!</v>
      </c>
      <c r="F705" s="87" t="e">
        <f t="shared" si="252"/>
        <v>#REF!</v>
      </c>
    </row>
    <row r="706" spans="2:6" ht="27.6">
      <c r="B706" s="100" t="s">
        <v>574</v>
      </c>
      <c r="C706" s="79">
        <v>-733147145.27999997</v>
      </c>
      <c r="D706" s="136" t="e">
        <f>-+SFPo!#REF!</f>
        <v>#REF!</v>
      </c>
      <c r="F706" s="87" t="e">
        <f t="shared" si="252"/>
        <v>#REF!</v>
      </c>
    </row>
    <row r="707" spans="2:6" ht="15" thickBot="1">
      <c r="B707" s="184" t="s">
        <v>575</v>
      </c>
      <c r="C707" s="188">
        <v>5842722377.8699999</v>
      </c>
    </row>
    <row r="708" spans="2:6" ht="28.2" thickBot="1">
      <c r="B708" s="185" t="s">
        <v>576</v>
      </c>
      <c r="C708" s="190">
        <v>1191534332.9300001</v>
      </c>
      <c r="D708" s="136">
        <f>+SCF!D22</f>
        <v>1593564092.5990028</v>
      </c>
      <c r="F708" s="87">
        <f t="shared" si="252"/>
        <v>-402029759.66900277</v>
      </c>
    </row>
    <row r="709" spans="2:6">
      <c r="B709" s="96" t="s">
        <v>156</v>
      </c>
      <c r="C709" s="73">
        <f>SUM(C696:C707)</f>
        <v>1191534332.9300003</v>
      </c>
    </row>
    <row r="710" spans="2:6">
      <c r="B710" s="96" t="s">
        <v>156</v>
      </c>
      <c r="C710" s="73">
        <f>+C708-C709</f>
        <v>0</v>
      </c>
    </row>
    <row r="713" spans="2:6" ht="15" thickBot="1"/>
    <row r="714" spans="2:6">
      <c r="B714" s="436" t="s">
        <v>64</v>
      </c>
      <c r="C714" s="191" t="s">
        <v>577</v>
      </c>
    </row>
    <row r="715" spans="2:6" ht="15" thickBot="1">
      <c r="B715" s="437"/>
      <c r="C715" s="192" t="s">
        <v>578</v>
      </c>
    </row>
    <row r="716" spans="2:6" ht="15" thickBot="1">
      <c r="B716" s="193" t="s">
        <v>187</v>
      </c>
      <c r="C716" s="188">
        <v>1332921405.75</v>
      </c>
    </row>
    <row r="717" spans="2:6" ht="15" thickBot="1">
      <c r="B717" s="193" t="s">
        <v>188</v>
      </c>
      <c r="C717" s="188">
        <v>537972780.00999999</v>
      </c>
    </row>
    <row r="718" spans="2:6">
      <c r="B718" s="122" t="s">
        <v>240</v>
      </c>
      <c r="C718" s="79">
        <v>8228717</v>
      </c>
    </row>
    <row r="719" spans="2:6">
      <c r="B719" s="122" t="s">
        <v>579</v>
      </c>
      <c r="C719" s="79">
        <v>479973304.32999998</v>
      </c>
    </row>
    <row r="720" spans="2:6">
      <c r="B720" s="122" t="s">
        <v>241</v>
      </c>
      <c r="C720" s="79">
        <v>18318709.100000001</v>
      </c>
    </row>
    <row r="721" spans="2:3" ht="27.6">
      <c r="B721" s="122" t="s">
        <v>580</v>
      </c>
      <c r="C721" s="79">
        <v>1195584.58</v>
      </c>
    </row>
    <row r="722" spans="2:3">
      <c r="B722" s="122" t="s">
        <v>581</v>
      </c>
      <c r="C722" s="79">
        <v>782242.41</v>
      </c>
    </row>
    <row r="723" spans="2:3">
      <c r="B723" s="122" t="s">
        <v>247</v>
      </c>
      <c r="C723" s="79">
        <v>69851794.329999998</v>
      </c>
    </row>
    <row r="724" spans="2:3">
      <c r="B724" s="122" t="s">
        <v>248</v>
      </c>
      <c r="C724" s="79">
        <v>534138676.11000001</v>
      </c>
    </row>
    <row r="725" spans="2:3" ht="27.6">
      <c r="B725" s="122" t="s">
        <v>582</v>
      </c>
      <c r="C725" s="79">
        <v>523887008.20999998</v>
      </c>
    </row>
    <row r="726" spans="2:3">
      <c r="B726" s="122" t="s">
        <v>583</v>
      </c>
      <c r="C726" s="79">
        <v>19686914.68</v>
      </c>
    </row>
    <row r="727" spans="2:3">
      <c r="B727" s="122" t="s">
        <v>252</v>
      </c>
      <c r="C727" s="79">
        <v>14338806.84</v>
      </c>
    </row>
    <row r="728" spans="2:3" ht="28.2" thickBot="1">
      <c r="B728" s="122" t="s">
        <v>584</v>
      </c>
      <c r="C728" s="79">
        <v>36629644.799999997</v>
      </c>
    </row>
    <row r="729" spans="2:3" ht="15" thickBot="1">
      <c r="B729" s="194"/>
      <c r="C729" s="120">
        <v>3577925588.1500001</v>
      </c>
    </row>
    <row r="730" spans="2:3">
      <c r="B730" s="96" t="s">
        <v>156</v>
      </c>
      <c r="C730" s="73">
        <f>SUM(C716:C728)</f>
        <v>3577925588.1500001</v>
      </c>
    </row>
    <row r="731" spans="2:3">
      <c r="B731" s="96" t="s">
        <v>156</v>
      </c>
      <c r="C731" s="73">
        <f>+C729-C730</f>
        <v>0</v>
      </c>
    </row>
    <row r="736" spans="2:3">
      <c r="C736">
        <v>18</v>
      </c>
    </row>
    <row r="737" spans="3:3">
      <c r="C737">
        <v>41</v>
      </c>
    </row>
    <row r="738" spans="3:3">
      <c r="C738">
        <v>19</v>
      </c>
    </row>
    <row r="739" spans="3:3">
      <c r="C739">
        <v>19</v>
      </c>
    </row>
    <row r="740" spans="3:3">
      <c r="C740">
        <f>SUM(C736:C739)</f>
        <v>97</v>
      </c>
    </row>
  </sheetData>
  <mergeCells count="13">
    <mergeCell ref="B714:B715"/>
    <mergeCell ref="B609:D609"/>
    <mergeCell ref="B614:C614"/>
    <mergeCell ref="B506:B507"/>
    <mergeCell ref="B579:C579"/>
    <mergeCell ref="B583:C583"/>
    <mergeCell ref="B587:B588"/>
    <mergeCell ref="B56:C56"/>
    <mergeCell ref="A339:A340"/>
    <mergeCell ref="B339:D339"/>
    <mergeCell ref="A341:D341"/>
    <mergeCell ref="B379:C379"/>
    <mergeCell ref="C182:C183"/>
  </mergeCells>
  <conditionalFormatting sqref="G1:G1048576">
    <cfRule type="cellIs" dxfId="12" priority="1" operator="equal">
      <formula>-0.3</formula>
    </cfRule>
    <cfRule type="cellIs" dxfId="11" priority="2" operator="equal">
      <formula>0.3</formula>
    </cfRule>
    <cfRule type="cellIs" dxfId="10" priority="3" operator="lessThan">
      <formula>-0.3</formula>
    </cfRule>
    <cfRule type="cellIs" dxfId="9" priority="4" operator="greaterThan">
      <formula>0.3</formula>
    </cfRule>
  </conditionalFormatting>
  <conditionalFormatting sqref="H1:H1048576">
    <cfRule type="containsText" dxfId="8" priority="153" operator="containsText" text="No">
      <formula>NOT(ISERROR(SEARCH("No",H1)))</formula>
    </cfRule>
  </conditionalFormatting>
  <conditionalFormatting sqref="O1:P1048576">
    <cfRule type="cellIs" dxfId="7" priority="9" operator="lessThan">
      <formula>0</formula>
    </cfRule>
    <cfRule type="cellIs" dxfId="6" priority="10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2"/>
  <sheetViews>
    <sheetView workbookViewId="0">
      <pane xSplit="1" ySplit="2" topLeftCell="E21" activePane="bottomRight" state="frozen"/>
      <selection activeCell="C656" sqref="C656"/>
      <selection pane="topRight" activeCell="C656" sqref="C656"/>
      <selection pane="bottomLeft" activeCell="C656" sqref="C656"/>
      <selection pane="bottomRight" activeCell="C656" sqref="C656"/>
    </sheetView>
  </sheetViews>
  <sheetFormatPr defaultRowHeight="14.4"/>
  <cols>
    <col min="1" max="1" width="47.33203125" customWidth="1"/>
    <col min="2" max="8" width="17.6640625" customWidth="1"/>
    <col min="9" max="9" width="17.5546875" customWidth="1"/>
    <col min="10" max="10" width="17.6640625" customWidth="1"/>
    <col min="11" max="11" width="19" customWidth="1"/>
    <col min="12" max="12" width="17.33203125" bestFit="1" customWidth="1"/>
  </cols>
  <sheetData>
    <row r="1" spans="1:12">
      <c r="C1" t="s">
        <v>319</v>
      </c>
    </row>
    <row r="2" spans="1:12">
      <c r="A2" t="s">
        <v>64</v>
      </c>
      <c r="B2" t="s">
        <v>337</v>
      </c>
      <c r="C2" t="s">
        <v>320</v>
      </c>
      <c r="D2" t="s">
        <v>321</v>
      </c>
      <c r="E2" t="s">
        <v>322</v>
      </c>
      <c r="F2" t="s">
        <v>323</v>
      </c>
      <c r="G2" t="s">
        <v>336</v>
      </c>
      <c r="H2" t="s">
        <v>318</v>
      </c>
      <c r="J2" s="137" t="s">
        <v>338</v>
      </c>
      <c r="K2" t="s">
        <v>339</v>
      </c>
      <c r="L2" s="137" t="s">
        <v>338</v>
      </c>
    </row>
    <row r="3" spans="1:12">
      <c r="A3" t="s">
        <v>279</v>
      </c>
      <c r="B3" s="87">
        <v>3578193399.3200002</v>
      </c>
      <c r="C3" s="87">
        <v>33032184.84</v>
      </c>
      <c r="D3" s="87">
        <v>0</v>
      </c>
      <c r="E3" s="87">
        <v>0</v>
      </c>
      <c r="F3" s="87">
        <v>0</v>
      </c>
      <c r="G3" s="87">
        <v>0</v>
      </c>
      <c r="H3" s="87">
        <v>3611225584.1599998</v>
      </c>
      <c r="I3" s="136">
        <f>+B3+C3+D3-E3+F3-G3</f>
        <v>3611225584.1600003</v>
      </c>
      <c r="J3" s="136">
        <f>+H3-I3</f>
        <v>0</v>
      </c>
      <c r="K3" s="73">
        <f>+NFS!C208</f>
        <v>3611225584.1599998</v>
      </c>
      <c r="L3" s="87">
        <f>+H3-K3</f>
        <v>0</v>
      </c>
    </row>
    <row r="4" spans="1:12">
      <c r="A4" t="s">
        <v>280</v>
      </c>
      <c r="B4" s="87"/>
      <c r="C4" s="87"/>
      <c r="D4" s="87"/>
      <c r="E4" s="87"/>
      <c r="F4" s="87"/>
      <c r="G4" s="87"/>
      <c r="H4" s="87"/>
      <c r="I4" s="136"/>
      <c r="J4" s="136"/>
      <c r="K4" s="73">
        <f>+NFS!C209</f>
        <v>0</v>
      </c>
      <c r="L4" s="87">
        <f t="shared" ref="L4:L40" si="0">+H4-K4</f>
        <v>0</v>
      </c>
    </row>
    <row r="5" spans="1:12">
      <c r="A5" t="s">
        <v>281</v>
      </c>
      <c r="B5" s="87">
        <v>61263731.18</v>
      </c>
      <c r="C5" s="87">
        <v>0</v>
      </c>
      <c r="D5" s="87">
        <v>0</v>
      </c>
      <c r="E5" s="87">
        <v>0</v>
      </c>
      <c r="F5" s="87">
        <v>40433.54</v>
      </c>
      <c r="G5" s="87">
        <v>2504105.46</v>
      </c>
      <c r="H5" s="87">
        <v>58800059.259999998</v>
      </c>
      <c r="I5" s="136">
        <f t="shared" ref="I5:I40" si="1">+B5+C5+D5-E5+F5-G5</f>
        <v>58800059.259999998</v>
      </c>
      <c r="J5" s="136">
        <f t="shared" ref="J5:J40" si="2">+H5-I5</f>
        <v>0</v>
      </c>
      <c r="K5" s="73">
        <f>+NFS!C210</f>
        <v>58800059.259999998</v>
      </c>
      <c r="L5" s="87">
        <f t="shared" si="0"/>
        <v>0</v>
      </c>
    </row>
    <row r="6" spans="1:12">
      <c r="A6" t="s">
        <v>282</v>
      </c>
      <c r="B6" s="87"/>
      <c r="C6" s="87"/>
      <c r="D6" s="87"/>
      <c r="E6" s="87"/>
      <c r="F6" s="87"/>
      <c r="G6" s="87"/>
      <c r="H6" s="87"/>
      <c r="I6" s="136"/>
      <c r="J6" s="136"/>
      <c r="K6" s="73">
        <f>+NFS!C211</f>
        <v>0</v>
      </c>
      <c r="L6" s="87">
        <f t="shared" si="0"/>
        <v>0</v>
      </c>
    </row>
    <row r="7" spans="1:12">
      <c r="A7" t="s">
        <v>283</v>
      </c>
      <c r="B7" s="87">
        <v>2196051646.5500002</v>
      </c>
      <c r="C7" s="87">
        <v>0</v>
      </c>
      <c r="D7" s="87">
        <v>19927404</v>
      </c>
      <c r="E7" s="87">
        <v>0</v>
      </c>
      <c r="F7" s="87">
        <v>54003862.270000003</v>
      </c>
      <c r="G7" s="87">
        <v>0</v>
      </c>
      <c r="H7" s="87">
        <v>2269982912.8200002</v>
      </c>
      <c r="I7" s="136">
        <f t="shared" si="1"/>
        <v>2269982912.8200002</v>
      </c>
      <c r="J7" s="136">
        <f t="shared" si="2"/>
        <v>0</v>
      </c>
      <c r="K7" s="73">
        <f>+NFS!C212</f>
        <v>2269982912.8200002</v>
      </c>
      <c r="L7" s="87">
        <f t="shared" si="0"/>
        <v>0</v>
      </c>
    </row>
    <row r="8" spans="1:12">
      <c r="A8" t="s">
        <v>285</v>
      </c>
      <c r="B8" s="87">
        <v>722986707.88999999</v>
      </c>
      <c r="C8" s="87">
        <v>0</v>
      </c>
      <c r="D8" s="87"/>
      <c r="E8" s="87">
        <v>0</v>
      </c>
      <c r="F8" s="87">
        <v>362459232.88999999</v>
      </c>
      <c r="G8" s="87">
        <v>0</v>
      </c>
      <c r="H8" s="87">
        <v>1085445940.78</v>
      </c>
      <c r="I8" s="136">
        <f t="shared" si="1"/>
        <v>1085445940.78</v>
      </c>
      <c r="J8" s="136">
        <f t="shared" si="2"/>
        <v>0</v>
      </c>
      <c r="K8" s="73">
        <f>+NFS!C214</f>
        <v>1085445940.78</v>
      </c>
      <c r="L8" s="87">
        <f t="shared" si="0"/>
        <v>0</v>
      </c>
    </row>
    <row r="9" spans="1:12">
      <c r="A9" t="s">
        <v>286</v>
      </c>
      <c r="B9" s="87">
        <v>1550805045.51</v>
      </c>
      <c r="C9" s="87">
        <v>0</v>
      </c>
      <c r="D9" s="87">
        <v>105225314.36</v>
      </c>
      <c r="E9" s="87">
        <v>0</v>
      </c>
      <c r="F9" s="87">
        <v>748389521.37</v>
      </c>
      <c r="G9" s="87">
        <v>0</v>
      </c>
      <c r="H9" s="87">
        <v>2404419881.2399998</v>
      </c>
      <c r="I9" s="136">
        <f t="shared" si="1"/>
        <v>2404419881.2399998</v>
      </c>
      <c r="J9" s="136">
        <f t="shared" si="2"/>
        <v>0</v>
      </c>
      <c r="K9" s="73">
        <f>+NFS!C215</f>
        <v>2404419881.2399998</v>
      </c>
      <c r="L9" s="87">
        <f t="shared" si="0"/>
        <v>0</v>
      </c>
    </row>
    <row r="10" spans="1:12">
      <c r="A10" t="s">
        <v>287</v>
      </c>
      <c r="B10" s="87"/>
      <c r="C10" s="87"/>
      <c r="D10" s="87"/>
      <c r="E10" s="87"/>
      <c r="F10" s="87"/>
      <c r="G10" s="87"/>
      <c r="H10" s="87"/>
      <c r="I10" s="136"/>
      <c r="J10" s="136"/>
      <c r="K10" s="73">
        <f>+NFS!C216</f>
        <v>0</v>
      </c>
      <c r="L10" s="87">
        <f t="shared" si="0"/>
        <v>0</v>
      </c>
    </row>
    <row r="11" spans="1:12">
      <c r="A11" t="s">
        <v>288</v>
      </c>
      <c r="B11" s="87">
        <v>1496367920.6500001</v>
      </c>
      <c r="C11" s="87">
        <v>98359002.079999998</v>
      </c>
      <c r="D11" s="87">
        <v>55202419.659999996</v>
      </c>
      <c r="E11" s="87">
        <v>0</v>
      </c>
      <c r="F11" s="87">
        <v>90202191.140000001</v>
      </c>
      <c r="G11" s="87">
        <v>84904875.799999997</v>
      </c>
      <c r="H11" s="87">
        <v>1655226657.73</v>
      </c>
      <c r="I11" s="136">
        <f t="shared" si="1"/>
        <v>1655226657.7300003</v>
      </c>
      <c r="J11" s="136">
        <f t="shared" si="2"/>
        <v>0</v>
      </c>
      <c r="K11" s="73">
        <f>+NFS!C217</f>
        <v>1655226657.73</v>
      </c>
      <c r="L11" s="87">
        <f t="shared" si="0"/>
        <v>0</v>
      </c>
    </row>
    <row r="12" spans="1:12">
      <c r="A12" t="s">
        <v>289</v>
      </c>
      <c r="B12" s="87">
        <v>11945131217.469999</v>
      </c>
      <c r="C12" s="87">
        <v>137054463.62</v>
      </c>
      <c r="D12" s="87">
        <v>199376599.63999999</v>
      </c>
      <c r="E12" s="87">
        <v>0</v>
      </c>
      <c r="F12" s="87">
        <v>-723073570.32000005</v>
      </c>
      <c r="G12" s="87">
        <v>463194136.38</v>
      </c>
      <c r="H12" s="87">
        <v>11095294574.030001</v>
      </c>
      <c r="I12" s="136">
        <f t="shared" si="1"/>
        <v>11095294574.030001</v>
      </c>
      <c r="J12" s="136">
        <f t="shared" si="2"/>
        <v>0</v>
      </c>
      <c r="K12" s="73">
        <f>+NFS!C218</f>
        <v>11095294574.030001</v>
      </c>
      <c r="L12" s="87">
        <f t="shared" si="0"/>
        <v>0</v>
      </c>
    </row>
    <row r="13" spans="1:12">
      <c r="A13" t="s">
        <v>290</v>
      </c>
      <c r="B13" s="87">
        <v>1180226580.72</v>
      </c>
      <c r="C13" s="87">
        <v>115021189.76000001</v>
      </c>
      <c r="D13" s="87">
        <v>85054412.689999998</v>
      </c>
      <c r="E13" s="87">
        <v>0</v>
      </c>
      <c r="F13" s="87">
        <v>2229104259.1700001</v>
      </c>
      <c r="G13" s="87">
        <v>94965927.140000001</v>
      </c>
      <c r="H13" s="87">
        <v>3514440515.1999998</v>
      </c>
      <c r="I13" s="136">
        <f t="shared" ref="I13" si="3">+B13+C13+D13-E13+F13-G13</f>
        <v>3514440515.2000003</v>
      </c>
      <c r="J13" s="136">
        <f t="shared" ref="J13" si="4">+H13-I13</f>
        <v>0</v>
      </c>
      <c r="K13" s="73">
        <f>+NFS!C219</f>
        <v>3514440515.1999998</v>
      </c>
      <c r="L13" s="87">
        <f t="shared" si="0"/>
        <v>0</v>
      </c>
    </row>
    <row r="14" spans="1:12">
      <c r="A14" t="s">
        <v>291</v>
      </c>
      <c r="B14" s="87">
        <v>345781563.47000003</v>
      </c>
      <c r="C14" s="87">
        <v>0</v>
      </c>
      <c r="D14" s="87">
        <v>0</v>
      </c>
      <c r="E14" s="87">
        <v>0</v>
      </c>
      <c r="F14" s="87">
        <v>-123368.92</v>
      </c>
      <c r="G14" s="87">
        <v>18089742.780000001</v>
      </c>
      <c r="H14" s="87">
        <v>327568451.76999998</v>
      </c>
      <c r="I14" s="136">
        <f t="shared" si="1"/>
        <v>327568451.76999998</v>
      </c>
      <c r="J14" s="136">
        <f t="shared" si="2"/>
        <v>0</v>
      </c>
      <c r="K14" s="73">
        <f>+NFS!C220</f>
        <v>327568451.76999998</v>
      </c>
      <c r="L14" s="87">
        <f t="shared" si="0"/>
        <v>0</v>
      </c>
    </row>
    <row r="15" spans="1:12">
      <c r="A15" t="s">
        <v>292</v>
      </c>
      <c r="B15" s="87">
        <v>5439104.8799999999</v>
      </c>
      <c r="C15" s="87">
        <v>0</v>
      </c>
      <c r="D15" s="87">
        <v>0</v>
      </c>
      <c r="E15" s="87">
        <v>0</v>
      </c>
      <c r="F15" s="87">
        <v>-0.01</v>
      </c>
      <c r="G15" s="87">
        <v>612386.12</v>
      </c>
      <c r="H15" s="87">
        <v>4826718.75</v>
      </c>
      <c r="I15" s="136">
        <f t="shared" si="1"/>
        <v>4826718.75</v>
      </c>
      <c r="J15" s="136">
        <f t="shared" si="2"/>
        <v>0</v>
      </c>
      <c r="K15" s="73">
        <f>+NFS!C221</f>
        <v>4826718.75</v>
      </c>
      <c r="L15" s="87">
        <f t="shared" si="0"/>
        <v>0</v>
      </c>
    </row>
    <row r="16" spans="1:12">
      <c r="A16" t="s">
        <v>293</v>
      </c>
      <c r="B16" s="87">
        <v>1229551772.4400001</v>
      </c>
      <c r="C16" s="87">
        <v>0</v>
      </c>
      <c r="D16" s="87">
        <v>0</v>
      </c>
      <c r="E16" s="87">
        <v>0</v>
      </c>
      <c r="F16" s="87">
        <v>3018825214.4000001</v>
      </c>
      <c r="G16" s="87">
        <v>117584264.45</v>
      </c>
      <c r="H16" s="87">
        <v>4130792722.3899999</v>
      </c>
      <c r="I16" s="136">
        <f t="shared" si="1"/>
        <v>4130792722.3900003</v>
      </c>
      <c r="J16" s="136">
        <f t="shared" si="2"/>
        <v>0</v>
      </c>
      <c r="K16" s="73">
        <f>+NFS!C222</f>
        <v>4130792722.3899999</v>
      </c>
      <c r="L16" s="87">
        <f t="shared" si="0"/>
        <v>0</v>
      </c>
    </row>
    <row r="17" spans="1:12">
      <c r="A17" t="s">
        <v>294</v>
      </c>
      <c r="B17" s="87"/>
      <c r="C17" s="87"/>
      <c r="D17" s="87"/>
      <c r="E17" s="87"/>
      <c r="F17" s="87"/>
      <c r="G17" s="87"/>
      <c r="H17" s="87"/>
      <c r="I17" s="136"/>
      <c r="J17" s="136"/>
      <c r="K17" s="73">
        <f>+NFS!C223</f>
        <v>0</v>
      </c>
      <c r="L17" s="87">
        <f t="shared" si="0"/>
        <v>0</v>
      </c>
    </row>
    <row r="18" spans="1:12">
      <c r="A18" t="s">
        <v>295</v>
      </c>
      <c r="B18" s="87">
        <v>2831538.13</v>
      </c>
      <c r="C18" s="87">
        <v>0</v>
      </c>
      <c r="D18" s="87">
        <v>0</v>
      </c>
      <c r="E18" s="87">
        <v>0</v>
      </c>
      <c r="F18" s="87">
        <v>-1680231.3</v>
      </c>
      <c r="G18" s="87">
        <v>158308</v>
      </c>
      <c r="H18" s="87">
        <v>992998.83</v>
      </c>
      <c r="I18" s="136">
        <f t="shared" si="1"/>
        <v>992998.82999999984</v>
      </c>
      <c r="J18" s="136">
        <f t="shared" si="2"/>
        <v>0</v>
      </c>
      <c r="K18" s="73">
        <f>+NFS!C224</f>
        <v>992998.83</v>
      </c>
      <c r="L18" s="87">
        <f t="shared" si="0"/>
        <v>0</v>
      </c>
    </row>
    <row r="19" spans="1:12">
      <c r="A19" t="s">
        <v>296</v>
      </c>
      <c r="B19" s="87">
        <v>115798251.22</v>
      </c>
      <c r="C19" s="87">
        <v>16860787.510000002</v>
      </c>
      <c r="D19" s="87">
        <v>0</v>
      </c>
      <c r="E19" s="87">
        <v>0</v>
      </c>
      <c r="F19" s="87">
        <v>-67536278.420000002</v>
      </c>
      <c r="G19" s="87">
        <v>17921451.989999998</v>
      </c>
      <c r="H19" s="87">
        <v>47201308.32</v>
      </c>
      <c r="I19" s="136">
        <f t="shared" si="1"/>
        <v>47201308.320000008</v>
      </c>
      <c r="J19" s="136">
        <f t="shared" si="2"/>
        <v>0</v>
      </c>
      <c r="K19" s="73">
        <f>+NFS!C225</f>
        <v>47201308.32</v>
      </c>
      <c r="L19" s="87">
        <f t="shared" si="0"/>
        <v>0</v>
      </c>
    </row>
    <row r="20" spans="1:12">
      <c r="A20" t="s">
        <v>324</v>
      </c>
      <c r="B20" s="87">
        <v>367951670.26999998</v>
      </c>
      <c r="C20" s="87">
        <v>91097806.549999997</v>
      </c>
      <c r="D20" s="87">
        <v>0</v>
      </c>
      <c r="E20" s="87">
        <v>0</v>
      </c>
      <c r="F20" s="87">
        <v>-119527616.93000001</v>
      </c>
      <c r="G20" s="87">
        <v>80639072.010000005</v>
      </c>
      <c r="H20" s="87">
        <v>258882787.88</v>
      </c>
      <c r="I20" s="136">
        <f t="shared" si="1"/>
        <v>258882787.88</v>
      </c>
      <c r="J20" s="136">
        <f t="shared" si="2"/>
        <v>0</v>
      </c>
      <c r="K20" s="73">
        <f>+NFS!C226</f>
        <v>258882787.88</v>
      </c>
      <c r="L20" s="87">
        <f t="shared" si="0"/>
        <v>0</v>
      </c>
    </row>
    <row r="21" spans="1:12">
      <c r="A21" t="s">
        <v>299</v>
      </c>
      <c r="B21" s="87">
        <v>36304867.280000001</v>
      </c>
      <c r="C21" s="87">
        <v>2712854.12</v>
      </c>
      <c r="D21" s="87">
        <v>0</v>
      </c>
      <c r="E21" s="87">
        <v>0</v>
      </c>
      <c r="F21" s="87">
        <v>-12274265.779999999</v>
      </c>
      <c r="G21" s="87">
        <v>7810380.4500000002</v>
      </c>
      <c r="H21" s="87">
        <v>18933075.170000002</v>
      </c>
      <c r="I21" s="136">
        <f t="shared" si="1"/>
        <v>18933075.169999998</v>
      </c>
      <c r="J21" s="136">
        <f t="shared" si="2"/>
        <v>0</v>
      </c>
      <c r="K21" s="73">
        <f>+NFS!C228</f>
        <v>18933075.170000002</v>
      </c>
      <c r="L21" s="87">
        <f t="shared" si="0"/>
        <v>0</v>
      </c>
    </row>
    <row r="22" spans="1:12">
      <c r="A22" t="s">
        <v>329</v>
      </c>
      <c r="B22" s="87">
        <v>197229768.69999999</v>
      </c>
      <c r="C22" s="87">
        <v>8055800</v>
      </c>
      <c r="D22" s="87">
        <v>0</v>
      </c>
      <c r="E22" s="87">
        <v>0</v>
      </c>
      <c r="F22" s="87">
        <v>-148105.5</v>
      </c>
      <c r="G22" s="87">
        <v>26952976.84</v>
      </c>
      <c r="H22" s="87">
        <v>178184486.36000001</v>
      </c>
      <c r="I22" s="136">
        <f t="shared" si="1"/>
        <v>178184486.35999998</v>
      </c>
      <c r="J22" s="136">
        <f t="shared" si="2"/>
        <v>0</v>
      </c>
      <c r="K22" s="73">
        <f>+NFS!C229</f>
        <v>178184486.36000001</v>
      </c>
      <c r="L22" s="87">
        <f t="shared" si="0"/>
        <v>0</v>
      </c>
    </row>
    <row r="23" spans="1:12">
      <c r="A23" t="s">
        <v>334</v>
      </c>
      <c r="B23" s="87">
        <v>507296034.93000001</v>
      </c>
      <c r="C23" s="87">
        <v>31800000</v>
      </c>
      <c r="D23" s="87">
        <v>0</v>
      </c>
      <c r="E23" s="87">
        <v>0</v>
      </c>
      <c r="F23" s="87">
        <v>-4316447.41</v>
      </c>
      <c r="G23" s="87">
        <v>102183348.19</v>
      </c>
      <c r="H23" s="87">
        <v>432596239.32999998</v>
      </c>
      <c r="I23" s="136">
        <f t="shared" si="1"/>
        <v>432596239.33000004</v>
      </c>
      <c r="J23" s="136">
        <f t="shared" si="2"/>
        <v>0</v>
      </c>
      <c r="K23" s="73">
        <f>+NFS!C231</f>
        <v>432596239.32999998</v>
      </c>
      <c r="L23" s="87">
        <f t="shared" si="0"/>
        <v>0</v>
      </c>
    </row>
    <row r="24" spans="1:12">
      <c r="A24" t="s">
        <v>330</v>
      </c>
      <c r="B24" s="87">
        <v>5230139.5999999996</v>
      </c>
      <c r="C24" s="87">
        <v>0</v>
      </c>
      <c r="D24" s="87">
        <v>0</v>
      </c>
      <c r="E24" s="87">
        <v>0</v>
      </c>
      <c r="F24" s="87">
        <v>-5230139.5999999996</v>
      </c>
      <c r="G24" s="87">
        <v>0</v>
      </c>
      <c r="H24" s="87">
        <v>0</v>
      </c>
      <c r="I24" s="136">
        <f t="shared" si="1"/>
        <v>0</v>
      </c>
      <c r="J24" s="136">
        <f t="shared" si="2"/>
        <v>0</v>
      </c>
      <c r="K24" s="73">
        <f>+NFS!C232</f>
        <v>0</v>
      </c>
      <c r="L24" s="87">
        <f t="shared" si="0"/>
        <v>0</v>
      </c>
    </row>
    <row r="25" spans="1:12">
      <c r="A25" t="s">
        <v>304</v>
      </c>
      <c r="B25" s="87">
        <v>1221137927.04</v>
      </c>
      <c r="C25" s="87">
        <v>1061354253.1</v>
      </c>
      <c r="D25" s="87">
        <v>0</v>
      </c>
      <c r="E25" s="87">
        <v>0</v>
      </c>
      <c r="F25" s="87">
        <v>67944392.840000004</v>
      </c>
      <c r="G25" s="87">
        <v>222293060.06</v>
      </c>
      <c r="H25" s="87">
        <v>2128143512.9200001</v>
      </c>
      <c r="I25" s="136">
        <f t="shared" si="1"/>
        <v>2128143512.9200001</v>
      </c>
      <c r="J25" s="136">
        <f t="shared" si="2"/>
        <v>0</v>
      </c>
      <c r="K25" s="73">
        <f>+NFS!C235</f>
        <v>2128143512.9200001</v>
      </c>
      <c r="L25" s="87">
        <f t="shared" si="0"/>
        <v>0</v>
      </c>
    </row>
    <row r="26" spans="1:12">
      <c r="A26" t="s">
        <v>331</v>
      </c>
      <c r="B26" s="87">
        <v>37447959.18</v>
      </c>
      <c r="C26" s="87">
        <v>31295332.640000001</v>
      </c>
      <c r="D26" s="87">
        <v>0</v>
      </c>
      <c r="E26" s="87">
        <v>0</v>
      </c>
      <c r="F26" s="87">
        <v>-28542050.760000002</v>
      </c>
      <c r="G26" s="87">
        <v>2935546.03</v>
      </c>
      <c r="H26" s="87">
        <v>37265695.030000001</v>
      </c>
      <c r="I26" s="136">
        <f t="shared" si="1"/>
        <v>37265695.029999986</v>
      </c>
      <c r="J26" s="136">
        <f t="shared" si="2"/>
        <v>0</v>
      </c>
      <c r="K26" s="73">
        <f>+NFS!C236</f>
        <v>37265695.030000001</v>
      </c>
      <c r="L26" s="87">
        <f t="shared" si="0"/>
        <v>0</v>
      </c>
    </row>
    <row r="27" spans="1:12">
      <c r="A27" t="s">
        <v>306</v>
      </c>
      <c r="B27" s="87">
        <v>379872292.72000003</v>
      </c>
      <c r="C27" s="87">
        <v>63309699.170000002</v>
      </c>
      <c r="D27" s="87">
        <v>0</v>
      </c>
      <c r="E27" s="87">
        <v>0</v>
      </c>
      <c r="F27" s="87">
        <v>-221226541.06999999</v>
      </c>
      <c r="G27" s="87">
        <v>48094542.130000003</v>
      </c>
      <c r="H27" s="87">
        <v>173860908.69</v>
      </c>
      <c r="I27" s="136">
        <f t="shared" si="1"/>
        <v>173860908.69000006</v>
      </c>
      <c r="J27" s="136">
        <f t="shared" si="2"/>
        <v>0</v>
      </c>
      <c r="K27" s="73">
        <f>+NFS!C238</f>
        <v>173860908.69</v>
      </c>
      <c r="L27" s="87">
        <f t="shared" si="0"/>
        <v>0</v>
      </c>
    </row>
    <row r="28" spans="1:12">
      <c r="A28" t="s">
        <v>307</v>
      </c>
      <c r="B28" s="87"/>
      <c r="C28" s="87"/>
      <c r="D28" s="87"/>
      <c r="E28" s="87"/>
      <c r="F28" s="87"/>
      <c r="G28" s="87"/>
      <c r="H28" s="87"/>
      <c r="I28" s="136">
        <f t="shared" si="1"/>
        <v>0</v>
      </c>
      <c r="J28" s="136">
        <f t="shared" si="2"/>
        <v>0</v>
      </c>
      <c r="K28" s="73">
        <f>+NFS!C239</f>
        <v>0</v>
      </c>
      <c r="L28" s="87">
        <f t="shared" si="0"/>
        <v>0</v>
      </c>
    </row>
    <row r="29" spans="1:12">
      <c r="A29" t="s">
        <v>308</v>
      </c>
      <c r="B29" s="87">
        <v>398031954.23000002</v>
      </c>
      <c r="C29" s="87">
        <v>48408494</v>
      </c>
      <c r="D29" s="87">
        <v>0</v>
      </c>
      <c r="E29" s="87">
        <v>0</v>
      </c>
      <c r="F29" s="87">
        <v>16999253.850000001</v>
      </c>
      <c r="G29" s="87">
        <v>101486170.91</v>
      </c>
      <c r="H29" s="87">
        <v>361953531.17000002</v>
      </c>
      <c r="I29" s="136">
        <f t="shared" si="1"/>
        <v>361953531.17000008</v>
      </c>
      <c r="J29" s="136">
        <f t="shared" si="2"/>
        <v>0</v>
      </c>
      <c r="K29" s="73">
        <f>+NFS!C240</f>
        <v>361953531.17000002</v>
      </c>
      <c r="L29" s="87">
        <f t="shared" si="0"/>
        <v>0</v>
      </c>
    </row>
    <row r="30" spans="1:12">
      <c r="A30" t="s">
        <v>309</v>
      </c>
      <c r="B30" s="87">
        <v>15811.96</v>
      </c>
      <c r="C30" s="87">
        <v>0</v>
      </c>
      <c r="D30" s="87">
        <v>0</v>
      </c>
      <c r="E30" s="87">
        <v>0</v>
      </c>
      <c r="F30" s="87">
        <v>-15811.96</v>
      </c>
      <c r="G30" s="87">
        <v>0</v>
      </c>
      <c r="H30" s="87">
        <v>0</v>
      </c>
      <c r="I30" s="136">
        <f t="shared" si="1"/>
        <v>0</v>
      </c>
      <c r="J30" s="136">
        <f t="shared" si="2"/>
        <v>0</v>
      </c>
      <c r="K30" s="73">
        <f>+NFS!C241</f>
        <v>0</v>
      </c>
      <c r="L30" s="87">
        <f t="shared" si="0"/>
        <v>0</v>
      </c>
    </row>
    <row r="31" spans="1:12">
      <c r="A31" t="s">
        <v>325</v>
      </c>
      <c r="B31" s="87"/>
      <c r="C31" s="87"/>
      <c r="D31" s="87"/>
      <c r="E31" s="87"/>
      <c r="F31" s="87"/>
      <c r="G31" s="87"/>
      <c r="H31" s="87"/>
      <c r="I31" s="136">
        <f t="shared" si="1"/>
        <v>0</v>
      </c>
      <c r="J31" s="136">
        <f t="shared" si="2"/>
        <v>0</v>
      </c>
      <c r="K31" s="73">
        <f>+NFS!C242</f>
        <v>0</v>
      </c>
      <c r="L31" s="87">
        <f t="shared" si="0"/>
        <v>0</v>
      </c>
    </row>
    <row r="32" spans="1:12">
      <c r="A32" t="s">
        <v>326</v>
      </c>
      <c r="B32" s="87">
        <v>13764123.66</v>
      </c>
      <c r="C32" s="87">
        <v>33041697.989999998</v>
      </c>
      <c r="D32" s="87">
        <v>0</v>
      </c>
      <c r="E32" s="87">
        <v>0</v>
      </c>
      <c r="F32" s="87">
        <v>-12159206.17</v>
      </c>
      <c r="G32" s="87">
        <v>3728871.4</v>
      </c>
      <c r="H32" s="87">
        <v>30917744.079999998</v>
      </c>
      <c r="I32" s="136">
        <f t="shared" si="1"/>
        <v>30917744.079999998</v>
      </c>
      <c r="J32" s="136">
        <f t="shared" si="2"/>
        <v>0</v>
      </c>
      <c r="K32" s="73">
        <f>+NFS!C243</f>
        <v>30917744.079999998</v>
      </c>
      <c r="L32" s="87">
        <f t="shared" si="0"/>
        <v>0</v>
      </c>
    </row>
    <row r="33" spans="1:12">
      <c r="A33" t="s">
        <v>327</v>
      </c>
      <c r="B33" s="87">
        <v>1050326.33</v>
      </c>
      <c r="C33" s="87">
        <v>0</v>
      </c>
      <c r="D33" s="87">
        <v>0</v>
      </c>
      <c r="E33" s="87">
        <v>0</v>
      </c>
      <c r="F33" s="87">
        <v>-548577.23</v>
      </c>
      <c r="G33" s="87">
        <v>59070.05</v>
      </c>
      <c r="H33" s="87">
        <v>442679.05</v>
      </c>
      <c r="I33" s="136">
        <f t="shared" si="1"/>
        <v>442679.0500000001</v>
      </c>
      <c r="J33" s="136">
        <f t="shared" si="2"/>
        <v>0</v>
      </c>
      <c r="K33" s="73">
        <f>+NFS!C244</f>
        <v>442679.05</v>
      </c>
      <c r="L33" s="87">
        <f t="shared" si="0"/>
        <v>0</v>
      </c>
    </row>
    <row r="34" spans="1:12">
      <c r="A34" t="s">
        <v>313</v>
      </c>
      <c r="B34" s="87"/>
      <c r="C34" s="87"/>
      <c r="D34" s="87"/>
      <c r="E34" s="87"/>
      <c r="F34" s="87"/>
      <c r="G34" s="87"/>
      <c r="H34" s="87"/>
      <c r="I34" s="136"/>
      <c r="J34" s="136"/>
      <c r="K34" s="73">
        <f>+NFS!C245</f>
        <v>0</v>
      </c>
      <c r="L34" s="87">
        <f t="shared" si="0"/>
        <v>0</v>
      </c>
    </row>
    <row r="35" spans="1:12">
      <c r="A35" t="s">
        <v>332</v>
      </c>
      <c r="B35" s="87">
        <v>2233869940.5599999</v>
      </c>
      <c r="C35" s="87">
        <v>673322853.82000005</v>
      </c>
      <c r="D35" s="87">
        <v>-105916380.13</v>
      </c>
      <c r="E35" s="87">
        <v>0</v>
      </c>
      <c r="F35" s="87">
        <v>-2751532896.5500002</v>
      </c>
      <c r="G35" s="87">
        <v>0</v>
      </c>
      <c r="H35" s="214">
        <v>49743517.700000003</v>
      </c>
      <c r="I35" s="138">
        <f>+B35+C35+D35-E35+F35-G35</f>
        <v>49743517.699999809</v>
      </c>
      <c r="J35" s="138">
        <f>+H35-I35</f>
        <v>1.9371509552001953E-7</v>
      </c>
      <c r="K35" s="117">
        <f>+NFS!C246</f>
        <v>49743517.700000003</v>
      </c>
      <c r="L35" s="139">
        <f t="shared" si="0"/>
        <v>0</v>
      </c>
    </row>
    <row r="36" spans="1:12">
      <c r="A36" t="s">
        <v>335</v>
      </c>
      <c r="B36" s="87">
        <v>3985965127.21</v>
      </c>
      <c r="C36" s="87">
        <v>4086893925.4699998</v>
      </c>
      <c r="D36" s="87">
        <v>-358869770.22000003</v>
      </c>
      <c r="E36" s="87">
        <v>0</v>
      </c>
      <c r="F36" s="87">
        <v>-1748415935.04</v>
      </c>
      <c r="G36" s="87">
        <v>0</v>
      </c>
      <c r="H36" s="214">
        <v>5965573347.4200001</v>
      </c>
      <c r="I36" s="138">
        <f t="shared" ref="I36" si="5">+B36+C36+D36-E36+F36-G36</f>
        <v>5965573347.4200001</v>
      </c>
      <c r="J36" s="138">
        <f t="shared" ref="J36" si="6">+H36-I36</f>
        <v>0</v>
      </c>
      <c r="K36" s="117">
        <f>+NFS!C247</f>
        <v>5965573347.4200001</v>
      </c>
      <c r="L36" s="139">
        <f t="shared" si="0"/>
        <v>0</v>
      </c>
    </row>
    <row r="37" spans="1:12">
      <c r="A37" t="s">
        <v>328</v>
      </c>
      <c r="B37" s="87"/>
      <c r="C37" s="87"/>
      <c r="D37" s="87"/>
      <c r="E37" s="87"/>
      <c r="F37" s="87"/>
      <c r="G37" s="87"/>
      <c r="H37" s="87"/>
      <c r="I37" s="136"/>
      <c r="J37" s="136"/>
      <c r="K37" s="73">
        <f>+NFS!C248</f>
        <v>0</v>
      </c>
      <c r="L37" s="87">
        <f t="shared" si="0"/>
        <v>0</v>
      </c>
    </row>
    <row r="38" spans="1:12">
      <c r="A38" t="s">
        <v>317</v>
      </c>
      <c r="B38" s="87">
        <v>17950000</v>
      </c>
      <c r="C38" s="87">
        <v>40130000</v>
      </c>
      <c r="D38" s="87">
        <v>0</v>
      </c>
      <c r="E38" s="87">
        <v>0</v>
      </c>
      <c r="F38" s="87">
        <v>-33106000</v>
      </c>
      <c r="G38" s="87">
        <v>0</v>
      </c>
      <c r="H38" s="87">
        <v>24974000</v>
      </c>
      <c r="I38" s="136">
        <f t="shared" si="1"/>
        <v>24974000</v>
      </c>
      <c r="J38" s="136">
        <f t="shared" si="2"/>
        <v>0</v>
      </c>
      <c r="K38" s="73">
        <f>+NFS!C249</f>
        <v>24974000</v>
      </c>
      <c r="L38" s="87">
        <f t="shared" si="0"/>
        <v>0</v>
      </c>
    </row>
    <row r="39" spans="1:12">
      <c r="A39" t="s">
        <v>328</v>
      </c>
      <c r="B39" s="87">
        <v>113584963.18000001</v>
      </c>
      <c r="C39" s="87">
        <v>23835926.300000001</v>
      </c>
      <c r="D39" s="87">
        <v>0</v>
      </c>
      <c r="E39" s="87">
        <v>0</v>
      </c>
      <c r="F39" s="87">
        <v>161919829.97999999</v>
      </c>
      <c r="G39" s="87">
        <v>63529775.479999997</v>
      </c>
      <c r="H39" s="87">
        <v>235810943.97999999</v>
      </c>
      <c r="I39" s="136">
        <f t="shared" si="1"/>
        <v>235810943.98000005</v>
      </c>
      <c r="J39" s="136">
        <f t="shared" si="2"/>
        <v>0</v>
      </c>
      <c r="K39" s="73">
        <f>+NFS!C250</f>
        <v>235810943.97999999</v>
      </c>
      <c r="L39" s="87">
        <f t="shared" si="0"/>
        <v>0</v>
      </c>
    </row>
    <row r="40" spans="1:12">
      <c r="A40" t="s">
        <v>35</v>
      </c>
      <c r="B40" s="87">
        <v>33947131386.279999</v>
      </c>
      <c r="C40" s="87">
        <v>6595586270.9700003</v>
      </c>
      <c r="D40" s="87">
        <v>0</v>
      </c>
      <c r="E40" s="87">
        <v>0</v>
      </c>
      <c r="F40" s="87">
        <v>1020431148.48</v>
      </c>
      <c r="G40" s="87">
        <v>1459648011.6700001</v>
      </c>
      <c r="H40" s="87">
        <v>40103500794.059998</v>
      </c>
      <c r="I40" s="136">
        <f t="shared" si="1"/>
        <v>40103500794.060005</v>
      </c>
      <c r="J40" s="136">
        <f t="shared" si="2"/>
        <v>0</v>
      </c>
      <c r="K40" s="73">
        <f>+NFS!C251</f>
        <v>40103500794.059998</v>
      </c>
      <c r="L40" s="87">
        <f t="shared" si="0"/>
        <v>0</v>
      </c>
    </row>
    <row r="41" spans="1:12">
      <c r="A41" t="s">
        <v>333</v>
      </c>
      <c r="K41" s="73"/>
      <c r="L41" s="87"/>
    </row>
    <row r="42" spans="1:12">
      <c r="L42" s="87"/>
    </row>
    <row r="43" spans="1:12">
      <c r="L43" s="87"/>
    </row>
    <row r="44" spans="1:12">
      <c r="L44" s="87"/>
    </row>
    <row r="52" spans="1:5" ht="15" thickBot="1"/>
    <row r="53" spans="1:5" ht="40.200000000000003" thickBot="1">
      <c r="A53" s="182" t="s">
        <v>446</v>
      </c>
      <c r="B53" s="182" t="s">
        <v>447</v>
      </c>
      <c r="C53" s="182" t="s">
        <v>448</v>
      </c>
      <c r="D53" s="182" t="s">
        <v>449</v>
      </c>
      <c r="E53" s="182" t="s">
        <v>450</v>
      </c>
    </row>
    <row r="54" spans="1:5">
      <c r="A54" s="178" t="s">
        <v>451</v>
      </c>
      <c r="B54" s="180">
        <v>108441064.04000001</v>
      </c>
      <c r="C54" s="180">
        <v>62935092.140000001</v>
      </c>
      <c r="D54" s="180">
        <v>51866716.170000002</v>
      </c>
      <c r="E54" s="180">
        <v>119509440.01000001</v>
      </c>
    </row>
    <row r="55" spans="1:5">
      <c r="A55" s="178" t="s">
        <v>452</v>
      </c>
      <c r="B55" s="180">
        <v>50368347.109999999</v>
      </c>
      <c r="C55" s="180">
        <v>14328238.859999999</v>
      </c>
      <c r="D55" s="180">
        <v>14232239.16</v>
      </c>
      <c r="E55" s="180">
        <v>50464346.810000002</v>
      </c>
    </row>
    <row r="56" spans="1:5">
      <c r="A56" s="178" t="s">
        <v>453</v>
      </c>
      <c r="B56" s="180">
        <v>77822077.099999994</v>
      </c>
      <c r="C56" s="180">
        <v>9407008.1600000001</v>
      </c>
      <c r="D56" s="180">
        <v>22623170.420000002</v>
      </c>
      <c r="E56" s="180">
        <v>64605914.840000004</v>
      </c>
    </row>
    <row r="57" spans="1:5">
      <c r="A57" s="178" t="s">
        <v>454</v>
      </c>
      <c r="B57" s="180">
        <v>75642637.5</v>
      </c>
      <c r="C57" s="180">
        <v>66417765.68</v>
      </c>
      <c r="D57" s="180">
        <v>6807576.5700000003</v>
      </c>
      <c r="E57" s="180">
        <v>135252826.61000001</v>
      </c>
    </row>
    <row r="58" spans="1:5">
      <c r="A58" s="178" t="s">
        <v>455</v>
      </c>
      <c r="B58" s="180">
        <v>76609830.959999993</v>
      </c>
      <c r="C58" s="180">
        <v>30957882.879999999</v>
      </c>
      <c r="D58" s="180">
        <v>15909090.390000001</v>
      </c>
      <c r="E58" s="180">
        <v>91658623.450000003</v>
      </c>
    </row>
    <row r="59" spans="1:5" ht="15" thickBot="1">
      <c r="A59" s="179" t="s">
        <v>456</v>
      </c>
      <c r="B59" s="181">
        <v>96010192.390000001</v>
      </c>
      <c r="C59" s="181">
        <v>83023218.640000001</v>
      </c>
      <c r="D59" s="181">
        <v>28572441.199999999</v>
      </c>
      <c r="E59" s="181">
        <v>150460969.83000001</v>
      </c>
    </row>
    <row r="60" spans="1:5" ht="15" thickBot="1">
      <c r="A60" s="177" t="s">
        <v>35</v>
      </c>
      <c r="B60" s="176">
        <v>484894149.10000002</v>
      </c>
      <c r="C60" s="176">
        <v>267069206.36000001</v>
      </c>
      <c r="D60" s="176">
        <v>140011233.91</v>
      </c>
      <c r="E60" s="176">
        <v>611952121.54999995</v>
      </c>
    </row>
    <row r="61" spans="1:5">
      <c r="A61" s="96" t="s">
        <v>156</v>
      </c>
      <c r="B61" s="87">
        <f>SUM(B54:B59)</f>
        <v>484894149.09999996</v>
      </c>
      <c r="C61" s="87">
        <f t="shared" ref="C61:E61" si="7">SUM(C54:C59)</f>
        <v>267069206.36000001</v>
      </c>
      <c r="D61" s="87">
        <f t="shared" si="7"/>
        <v>140011233.91</v>
      </c>
      <c r="E61" s="87">
        <f t="shared" si="7"/>
        <v>611952121.54999995</v>
      </c>
    </row>
    <row r="62" spans="1:5">
      <c r="A62" s="96" t="s">
        <v>156</v>
      </c>
      <c r="B62" s="136">
        <f>+B60-B61</f>
        <v>0</v>
      </c>
      <c r="C62" s="136">
        <f t="shared" ref="C62:E62" si="8">+C60-C61</f>
        <v>0</v>
      </c>
      <c r="D62" s="136">
        <f t="shared" si="8"/>
        <v>0</v>
      </c>
      <c r="E62" s="136">
        <f t="shared" si="8"/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topLeftCell="A4" workbookViewId="0">
      <selection activeCell="C656" sqref="C656"/>
    </sheetView>
  </sheetViews>
  <sheetFormatPr defaultRowHeight="14.4"/>
  <cols>
    <col min="1" max="1" width="24.44140625" customWidth="1"/>
    <col min="2" max="2" width="17.88671875" bestFit="1" customWidth="1"/>
    <col min="3" max="3" width="16.6640625" bestFit="1" customWidth="1"/>
    <col min="4" max="4" width="17.88671875" bestFit="1" customWidth="1"/>
    <col min="5" max="5" width="15.6640625" bestFit="1" customWidth="1"/>
    <col min="6" max="6" width="17.44140625" bestFit="1" customWidth="1"/>
  </cols>
  <sheetData>
    <row r="1" spans="1:6" ht="28.2" thickBot="1">
      <c r="A1" s="195"/>
      <c r="B1" s="196" t="s">
        <v>585</v>
      </c>
      <c r="C1" s="196" t="s">
        <v>93</v>
      </c>
      <c r="D1" s="196" t="s">
        <v>586</v>
      </c>
      <c r="E1" s="196" t="s">
        <v>39</v>
      </c>
      <c r="F1" s="196" t="s">
        <v>94</v>
      </c>
    </row>
    <row r="2" spans="1:6" ht="27.6">
      <c r="A2" s="122" t="s">
        <v>587</v>
      </c>
      <c r="B2" s="79">
        <v>21040656484.560001</v>
      </c>
      <c r="C2" s="79">
        <v>5175191498.29</v>
      </c>
      <c r="D2" s="79">
        <v>11854232352.23</v>
      </c>
      <c r="E2" s="79">
        <v>333782154.52999997</v>
      </c>
      <c r="F2" s="79">
        <v>3142921296.8299999</v>
      </c>
    </row>
    <row r="3" spans="1:6">
      <c r="A3" s="122" t="s">
        <v>588</v>
      </c>
      <c r="B3" s="147"/>
      <c r="C3" s="77"/>
      <c r="D3" s="77"/>
      <c r="E3" s="77"/>
      <c r="F3" s="77"/>
    </row>
    <row r="4" spans="1:6" ht="27.6">
      <c r="A4" s="122" t="s">
        <v>589</v>
      </c>
      <c r="B4" s="147" t="s">
        <v>165</v>
      </c>
      <c r="C4" s="77" t="s">
        <v>165</v>
      </c>
      <c r="D4" s="77" t="s">
        <v>165</v>
      </c>
      <c r="E4" s="77" t="s">
        <v>165</v>
      </c>
      <c r="F4" s="77" t="s">
        <v>165</v>
      </c>
    </row>
    <row r="5" spans="1:6">
      <c r="A5" s="122" t="s">
        <v>590</v>
      </c>
      <c r="B5" s="147" t="s">
        <v>165</v>
      </c>
      <c r="C5" s="77" t="s">
        <v>165</v>
      </c>
      <c r="D5" s="77" t="s">
        <v>165</v>
      </c>
      <c r="E5" s="77" t="s">
        <v>165</v>
      </c>
      <c r="F5" s="77" t="s">
        <v>165</v>
      </c>
    </row>
    <row r="6" spans="1:6">
      <c r="A6" s="122" t="s">
        <v>120</v>
      </c>
      <c r="B6" s="79">
        <v>-4921063.93</v>
      </c>
      <c r="C6" s="77" t="s">
        <v>165</v>
      </c>
      <c r="D6" s="77" t="s">
        <v>165</v>
      </c>
      <c r="E6" s="77" t="s">
        <v>165</v>
      </c>
      <c r="F6" s="77" t="s">
        <v>165</v>
      </c>
    </row>
    <row r="7" spans="1:6">
      <c r="A7" s="122" t="s">
        <v>591</v>
      </c>
      <c r="B7" s="79">
        <v>-1427047072.05</v>
      </c>
      <c r="C7" s="77" t="s">
        <v>165</v>
      </c>
      <c r="D7" s="77" t="s">
        <v>165</v>
      </c>
      <c r="E7" s="77" t="s">
        <v>165</v>
      </c>
      <c r="F7" s="77" t="s">
        <v>165</v>
      </c>
    </row>
    <row r="8" spans="1:6" ht="27.6">
      <c r="A8" s="122" t="s">
        <v>592</v>
      </c>
      <c r="B8" s="147"/>
      <c r="C8" s="147"/>
      <c r="D8" s="77"/>
      <c r="E8" s="77"/>
      <c r="F8" s="77"/>
    </row>
    <row r="9" spans="1:6">
      <c r="A9" s="122" t="s">
        <v>593</v>
      </c>
      <c r="B9" s="77" t="s">
        <v>165</v>
      </c>
      <c r="C9" s="77" t="s">
        <v>165</v>
      </c>
      <c r="D9" s="77" t="s">
        <v>165</v>
      </c>
      <c r="E9" s="77" t="s">
        <v>165</v>
      </c>
      <c r="F9" s="77" t="s">
        <v>165</v>
      </c>
    </row>
    <row r="10" spans="1:6">
      <c r="A10" s="122" t="s">
        <v>594</v>
      </c>
      <c r="B10" s="77" t="s">
        <v>165</v>
      </c>
      <c r="C10" s="77" t="s">
        <v>165</v>
      </c>
      <c r="D10" s="77" t="s">
        <v>165</v>
      </c>
      <c r="E10" s="77" t="s">
        <v>165</v>
      </c>
      <c r="F10" s="77" t="s">
        <v>165</v>
      </c>
    </row>
    <row r="11" spans="1:6">
      <c r="A11" s="122" t="s">
        <v>595</v>
      </c>
      <c r="B11" s="77" t="s">
        <v>165</v>
      </c>
      <c r="C11" s="77" t="s">
        <v>165</v>
      </c>
      <c r="D11" s="79">
        <v>1459648011.6500001</v>
      </c>
      <c r="E11" s="77" t="s">
        <v>165</v>
      </c>
      <c r="F11" s="77" t="s">
        <v>165</v>
      </c>
    </row>
    <row r="12" spans="1:6">
      <c r="A12" s="122" t="s">
        <v>596</v>
      </c>
      <c r="B12" s="77" t="s">
        <v>165</v>
      </c>
      <c r="C12" s="77" t="s">
        <v>165</v>
      </c>
      <c r="D12" s="77" t="s">
        <v>165</v>
      </c>
      <c r="E12" s="79">
        <v>-152851140.09</v>
      </c>
      <c r="F12" s="77" t="s">
        <v>165</v>
      </c>
    </row>
    <row r="13" spans="1:6">
      <c r="A13" s="122" t="s">
        <v>597</v>
      </c>
      <c r="B13" s="77" t="s">
        <v>165</v>
      </c>
      <c r="C13" s="77" t="s">
        <v>165</v>
      </c>
      <c r="D13" s="77" t="s">
        <v>165</v>
      </c>
      <c r="E13" s="77" t="s">
        <v>165</v>
      </c>
      <c r="F13" s="79">
        <v>-3142921296.8299999</v>
      </c>
    </row>
    <row r="14" spans="1:6" ht="41.4">
      <c r="A14" s="122" t="s">
        <v>598</v>
      </c>
      <c r="B14" s="77" t="s">
        <v>165</v>
      </c>
      <c r="C14" s="77" t="s">
        <v>165</v>
      </c>
      <c r="D14" s="79">
        <v>-2025789392.5699999</v>
      </c>
      <c r="E14" s="77" t="s">
        <v>165</v>
      </c>
      <c r="F14" s="77" t="s">
        <v>165</v>
      </c>
    </row>
    <row r="15" spans="1:6" ht="15" thickBot="1">
      <c r="A15" s="122" t="s">
        <v>591</v>
      </c>
      <c r="B15" s="77" t="s">
        <v>165</v>
      </c>
      <c r="C15" s="77" t="s">
        <v>165</v>
      </c>
      <c r="D15" s="79">
        <v>-2139384464.01</v>
      </c>
      <c r="E15" s="77" t="s">
        <v>165</v>
      </c>
      <c r="F15" s="77" t="s">
        <v>165</v>
      </c>
    </row>
    <row r="16" spans="1:6" ht="28.2" thickBot="1">
      <c r="A16" s="194" t="s">
        <v>599</v>
      </c>
      <c r="B16" s="197">
        <v>19608688348.580002</v>
      </c>
      <c r="C16" s="197">
        <v>5175191498.29</v>
      </c>
      <c r="D16" s="197">
        <v>9148706507.2999992</v>
      </c>
      <c r="E16" s="197">
        <v>180931014.44</v>
      </c>
      <c r="F16" s="198">
        <v>0</v>
      </c>
    </row>
    <row r="17" spans="1:6" ht="15" thickBot="1">
      <c r="A17" s="199"/>
      <c r="B17" s="200"/>
      <c r="C17" s="200"/>
      <c r="D17" s="200"/>
      <c r="E17" s="200"/>
      <c r="F17" s="200"/>
    </row>
    <row r="18" spans="1:6">
      <c r="A18" s="144" t="s">
        <v>156</v>
      </c>
      <c r="B18" s="73">
        <f>SUM(B2:B15)</f>
        <v>19608688348.580002</v>
      </c>
      <c r="C18" s="73">
        <f t="shared" ref="C18:F18" si="0">SUM(C2:C15)</f>
        <v>5175191498.29</v>
      </c>
      <c r="D18" s="73">
        <f t="shared" si="0"/>
        <v>9148706507.2999992</v>
      </c>
      <c r="E18" s="73">
        <f t="shared" si="0"/>
        <v>180931014.43999997</v>
      </c>
      <c r="F18" s="73">
        <f t="shared" si="0"/>
        <v>0</v>
      </c>
    </row>
    <row r="19" spans="1:6">
      <c r="A19" s="144" t="s">
        <v>156</v>
      </c>
      <c r="B19" s="73">
        <f>+B16-B18</f>
        <v>0</v>
      </c>
      <c r="C19" s="73">
        <f t="shared" ref="C19:F19" si="1">+C16-C18</f>
        <v>0</v>
      </c>
      <c r="D19" s="73">
        <f t="shared" si="1"/>
        <v>0</v>
      </c>
      <c r="E19" s="73">
        <f t="shared" si="1"/>
        <v>0</v>
      </c>
      <c r="F19" s="73">
        <f t="shared" si="1"/>
        <v>0</v>
      </c>
    </row>
    <row r="20" spans="1:6">
      <c r="B20" s="73"/>
      <c r="C20" s="73"/>
      <c r="D20" s="73"/>
      <c r="E20" s="73"/>
      <c r="F20" s="73"/>
    </row>
    <row r="21" spans="1:6">
      <c r="A21" s="202" t="s">
        <v>561</v>
      </c>
      <c r="B21" s="136">
        <f>+B2-B22</f>
        <v>0</v>
      </c>
      <c r="C21" s="136">
        <f>+C2-C22</f>
        <v>0</v>
      </c>
      <c r="D21" s="136">
        <f>+D2-D22</f>
        <v>0</v>
      </c>
      <c r="E21" s="136">
        <f>+E2-E22</f>
        <v>0</v>
      </c>
      <c r="F21" s="136">
        <f>+F2-F22</f>
        <v>0</v>
      </c>
    </row>
    <row r="22" spans="1:6">
      <c r="A22" s="201" t="s">
        <v>600</v>
      </c>
      <c r="B22" s="136">
        <f>+SCBAA!J28</f>
        <v>21040656484.559998</v>
      </c>
      <c r="C22" s="136">
        <f>SUM(SCBAA!J33,SCBAA!J37,SCBAA!J41,SCBAA!J58)</f>
        <v>5175191498.289999</v>
      </c>
      <c r="D22" s="136">
        <f>SUM(SCBAA!J34,SCBAA!J38,SCBAA!J42,SCBAA!J59,SCBAA!J55,SCBAA!J52,SCBAA!J49)</f>
        <v>11854232352.23</v>
      </c>
      <c r="E22" s="136">
        <f>SUM(SCBAA!J46,SCBAA!J47)</f>
        <v>333782154.52999997</v>
      </c>
      <c r="F22" s="136">
        <f>SUM(SCBAA!J35,SCBAA!J39,SCBAA!J43,SCBAA!J50,SCBAA!J53,SCBAA!J56,SCBAA!J60)</f>
        <v>3142921296.8299999</v>
      </c>
    </row>
    <row r="23" spans="1:6">
      <c r="B23" s="136">
        <f>-+SFPe!D13</f>
        <v>-4921062.93</v>
      </c>
      <c r="D23" s="136">
        <f>+SFPe!D22</f>
        <v>1459648011.6500001</v>
      </c>
    </row>
    <row r="24" spans="1:6">
      <c r="B24" s="154">
        <f>+B7</f>
        <v>-1427047072.05</v>
      </c>
      <c r="D24" s="203">
        <f>+-SFPo!D13</f>
        <v>-1327476316.2799997</v>
      </c>
      <c r="E24" s="154">
        <f>+E12</f>
        <v>-152851140.09</v>
      </c>
    </row>
    <row r="25" spans="1:6">
      <c r="B25" s="73"/>
      <c r="D25" s="154">
        <f>+D15</f>
        <v>-2139384464.01</v>
      </c>
    </row>
    <row r="26" spans="1:6">
      <c r="A26" s="202" t="s">
        <v>601</v>
      </c>
      <c r="B26" s="136">
        <f>SUM(B22:B25)</f>
        <v>19608688349.579998</v>
      </c>
      <c r="C26" s="136">
        <f t="shared" ref="C26:E26" si="2">SUM(C22:C25)</f>
        <v>5175191498.289999</v>
      </c>
      <c r="D26" s="136">
        <f t="shared" si="2"/>
        <v>9847019583.5899982</v>
      </c>
      <c r="E26" s="136">
        <f t="shared" si="2"/>
        <v>180931014.43999997</v>
      </c>
      <c r="F26" s="203">
        <f>-SUM(F22:F25)</f>
        <v>-3142921296.8299999</v>
      </c>
    </row>
    <row r="27" spans="1:6">
      <c r="A27" s="201" t="s">
        <v>600</v>
      </c>
      <c r="B27" s="136">
        <f>+SFPe!D15</f>
        <v>19691552221.489998</v>
      </c>
      <c r="C27" s="136">
        <f>+SFPe!D18</f>
        <v>5175191498.289999</v>
      </c>
      <c r="D27" s="136">
        <f>+SFPe!D19</f>
        <v>9231570380.1999989</v>
      </c>
      <c r="E27" s="136">
        <f>+SFPe!D21</f>
        <v>180931014.44</v>
      </c>
      <c r="F27" s="203"/>
    </row>
    <row r="28" spans="1:6">
      <c r="A28" s="202" t="s">
        <v>561</v>
      </c>
      <c r="B28" s="136">
        <f>+B16-B27</f>
        <v>-82863872.909996033</v>
      </c>
      <c r="C28" s="136">
        <f>+C16-C27</f>
        <v>0</v>
      </c>
      <c r="D28" s="136">
        <f>+D16-D27</f>
        <v>-82863872.899999619</v>
      </c>
      <c r="E28" s="136">
        <f>+E16-E27</f>
        <v>0</v>
      </c>
      <c r="F28" s="136">
        <f>+F16-F27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8"/>
  <sheetViews>
    <sheetView workbookViewId="0">
      <pane ySplit="1" topLeftCell="A266" activePane="bottomLeft" state="frozen"/>
      <selection activeCell="C656" sqref="C656"/>
      <selection pane="bottomLeft" activeCell="C656" sqref="C656"/>
    </sheetView>
  </sheetViews>
  <sheetFormatPr defaultRowHeight="14.4"/>
  <cols>
    <col min="1" max="1" width="34.88671875" customWidth="1"/>
    <col min="2" max="3" width="18.44140625" bestFit="1" customWidth="1"/>
    <col min="4" max="4" width="19.5546875" bestFit="1" customWidth="1"/>
    <col min="6" max="6" width="19.109375" style="87" customWidth="1"/>
    <col min="7" max="7" width="17.33203125" style="87" customWidth="1"/>
    <col min="8" max="8" width="18" style="87" bestFit="1" customWidth="1"/>
    <col min="9" max="9" width="17.33203125" style="87" bestFit="1" customWidth="1"/>
    <col min="10" max="10" width="16.6640625" style="87" bestFit="1" customWidth="1"/>
    <col min="11" max="11" width="19.109375" style="87" customWidth="1"/>
    <col min="12" max="12" width="16.109375" customWidth="1"/>
  </cols>
  <sheetData>
    <row r="1" spans="1:12" ht="28.2" thickBot="1">
      <c r="A1" s="125" t="s">
        <v>144</v>
      </c>
      <c r="B1" s="125" t="s">
        <v>602</v>
      </c>
      <c r="C1" s="125" t="s">
        <v>603</v>
      </c>
      <c r="D1" s="125" t="s">
        <v>604</v>
      </c>
      <c r="F1" s="75" t="s">
        <v>157</v>
      </c>
      <c r="G1" s="75" t="s">
        <v>658</v>
      </c>
      <c r="H1" s="75" t="s">
        <v>659</v>
      </c>
      <c r="I1" s="75">
        <v>2021</v>
      </c>
      <c r="J1" s="75" t="s">
        <v>142</v>
      </c>
    </row>
    <row r="2" spans="1:12">
      <c r="A2" s="76"/>
      <c r="B2" s="446"/>
      <c r="C2" s="440"/>
      <c r="D2" s="440"/>
    </row>
    <row r="3" spans="1:12">
      <c r="A3" s="76" t="s">
        <v>2</v>
      </c>
      <c r="B3" s="447"/>
      <c r="C3" s="441"/>
      <c r="D3" s="441"/>
    </row>
    <row r="4" spans="1:12">
      <c r="A4" s="100" t="s">
        <v>146</v>
      </c>
      <c r="B4" s="79">
        <v>24328888.579999998</v>
      </c>
      <c r="C4" s="77">
        <v>0</v>
      </c>
      <c r="D4" s="79">
        <v>24328888.579999998</v>
      </c>
      <c r="F4" s="87">
        <f>+NFS!J6</f>
        <v>24328888.579999998</v>
      </c>
      <c r="G4" s="87">
        <f>+C4</f>
        <v>0</v>
      </c>
      <c r="H4" s="87">
        <f>+F4+G4</f>
        <v>24328888.579999998</v>
      </c>
      <c r="I4" s="87">
        <f>+NFS!D6</f>
        <v>24328888.579999998</v>
      </c>
      <c r="J4" s="87">
        <f>+H4-I4</f>
        <v>0</v>
      </c>
      <c r="K4" s="87">
        <f>+B4-F4</f>
        <v>0</v>
      </c>
      <c r="L4" s="210">
        <f>+D4-I4</f>
        <v>0</v>
      </c>
    </row>
    <row r="5" spans="1:12">
      <c r="A5" s="100" t="s">
        <v>147</v>
      </c>
      <c r="B5" s="79">
        <v>6738184.5599999996</v>
      </c>
      <c r="C5" s="77">
        <v>0</v>
      </c>
      <c r="D5" s="79">
        <v>6738184.5599999996</v>
      </c>
      <c r="F5" s="87">
        <f>+NFS!J7</f>
        <v>6738184.5599999996</v>
      </c>
      <c r="G5" s="87">
        <f t="shared" ref="G5:G8" si="0">+C5</f>
        <v>0</v>
      </c>
      <c r="H5" s="87">
        <f t="shared" ref="H5:H8" si="1">+F5+G5</f>
        <v>6738184.5599999996</v>
      </c>
      <c r="I5" s="87">
        <f>+NFS!D7</f>
        <v>6738184.5599999996</v>
      </c>
      <c r="J5" s="87">
        <f t="shared" ref="J5:J68" si="2">+H5-I5</f>
        <v>0</v>
      </c>
      <c r="K5" s="87">
        <f t="shared" ref="K5:K8" si="3">+B5-F5</f>
        <v>0</v>
      </c>
      <c r="L5" s="210">
        <f t="shared" ref="L5:L8" si="4">+D5-I5</f>
        <v>0</v>
      </c>
    </row>
    <row r="6" spans="1:12" ht="27.6">
      <c r="A6" s="100" t="s">
        <v>605</v>
      </c>
      <c r="B6" s="79">
        <v>7802046842.8800001</v>
      </c>
      <c r="C6" s="79">
        <v>-12588967.4</v>
      </c>
      <c r="D6" s="79">
        <v>7789457875.4799995</v>
      </c>
      <c r="F6" s="87">
        <f>+NFS!J9</f>
        <v>7802046842.8800001</v>
      </c>
      <c r="G6" s="87">
        <f t="shared" si="0"/>
        <v>-12588967.4</v>
      </c>
      <c r="H6" s="87">
        <f t="shared" si="1"/>
        <v>7789457875.4800005</v>
      </c>
      <c r="I6" s="87">
        <f>+NFS!D9</f>
        <v>7789457875.4799995</v>
      </c>
      <c r="J6" s="87">
        <f t="shared" si="2"/>
        <v>0</v>
      </c>
      <c r="K6" s="87">
        <f t="shared" si="3"/>
        <v>0</v>
      </c>
      <c r="L6" s="210">
        <f t="shared" si="4"/>
        <v>0</v>
      </c>
    </row>
    <row r="7" spans="1:12" ht="27.6">
      <c r="A7" s="100" t="s">
        <v>606</v>
      </c>
      <c r="B7" s="79">
        <v>257912.2</v>
      </c>
      <c r="C7" s="77">
        <v>0</v>
      </c>
      <c r="D7" s="79">
        <v>257912.2</v>
      </c>
      <c r="F7" s="87">
        <f>+NFS!J10</f>
        <v>257912.2</v>
      </c>
      <c r="G7" s="87">
        <f t="shared" si="0"/>
        <v>0</v>
      </c>
      <c r="H7" s="87">
        <f t="shared" si="1"/>
        <v>257912.2</v>
      </c>
      <c r="I7" s="87">
        <f>+NFS!D10</f>
        <v>257912.2</v>
      </c>
      <c r="J7" s="87">
        <f t="shared" si="2"/>
        <v>0</v>
      </c>
      <c r="K7" s="87">
        <f t="shared" si="3"/>
        <v>0</v>
      </c>
      <c r="L7" s="210">
        <f t="shared" si="4"/>
        <v>0</v>
      </c>
    </row>
    <row r="8" spans="1:12" ht="28.2" thickBot="1">
      <c r="A8" s="100" t="s">
        <v>607</v>
      </c>
      <c r="B8" s="79">
        <v>3031542208.3099999</v>
      </c>
      <c r="C8" s="77">
        <v>0</v>
      </c>
      <c r="D8" s="79">
        <v>3031542208.3099999</v>
      </c>
      <c r="F8" s="87">
        <f>+NFS!J12</f>
        <v>3031542208.3099999</v>
      </c>
      <c r="G8" s="87">
        <f t="shared" si="0"/>
        <v>0</v>
      </c>
      <c r="H8" s="87">
        <f t="shared" si="1"/>
        <v>3031542208.3099999</v>
      </c>
      <c r="I8" s="87">
        <f>+NFS!D12</f>
        <v>3031542208.3099999</v>
      </c>
      <c r="J8" s="87">
        <f t="shared" si="2"/>
        <v>0</v>
      </c>
      <c r="K8" s="87">
        <f t="shared" si="3"/>
        <v>0</v>
      </c>
      <c r="L8" s="210">
        <f t="shared" si="4"/>
        <v>0</v>
      </c>
    </row>
    <row r="9" spans="1:12" ht="15" thickBot="1">
      <c r="A9" s="204" t="s">
        <v>608</v>
      </c>
      <c r="B9" s="205">
        <v>10864914036.530001</v>
      </c>
      <c r="C9" s="205">
        <v>-12588967.4</v>
      </c>
      <c r="D9" s="205">
        <v>10852325069.129999</v>
      </c>
    </row>
    <row r="10" spans="1:12">
      <c r="A10" s="100" t="s">
        <v>609</v>
      </c>
      <c r="B10" s="79">
        <v>446250</v>
      </c>
      <c r="C10" s="77">
        <v>0</v>
      </c>
      <c r="D10" s="79">
        <v>446250</v>
      </c>
      <c r="F10" s="87">
        <f>NFS!J33</f>
        <v>446250</v>
      </c>
      <c r="G10" s="87">
        <f t="shared" ref="G10:G70" si="5">+C10</f>
        <v>0</v>
      </c>
      <c r="H10" s="87">
        <f t="shared" ref="H10:H70" si="6">+F10+G10</f>
        <v>446250</v>
      </c>
      <c r="I10" s="87">
        <f>NFS!D33</f>
        <v>446250</v>
      </c>
      <c r="J10" s="87">
        <f t="shared" si="2"/>
        <v>0</v>
      </c>
      <c r="K10" s="87">
        <f t="shared" ref="K10:K12" si="7">+B10-F10</f>
        <v>0</v>
      </c>
      <c r="L10" s="210">
        <f t="shared" ref="L10:L12" si="8">+D10-I10</f>
        <v>0</v>
      </c>
    </row>
    <row r="11" spans="1:12">
      <c r="A11" s="100" t="s">
        <v>610</v>
      </c>
      <c r="B11" s="79">
        <v>19400358.190000001</v>
      </c>
      <c r="C11" s="77">
        <v>0</v>
      </c>
      <c r="D11" s="79">
        <v>19400358.190000001</v>
      </c>
      <c r="F11" s="87">
        <f>NFS!J34</f>
        <v>19400358.190000001</v>
      </c>
      <c r="G11" s="87">
        <f t="shared" si="5"/>
        <v>0</v>
      </c>
      <c r="H11" s="87">
        <f t="shared" si="6"/>
        <v>19400358.190000001</v>
      </c>
      <c r="I11" s="87">
        <f>NFS!D34</f>
        <v>19400358.190000001</v>
      </c>
      <c r="J11" s="87">
        <f t="shared" si="2"/>
        <v>0</v>
      </c>
      <c r="K11" s="87">
        <f t="shared" si="7"/>
        <v>0</v>
      </c>
      <c r="L11" s="210">
        <f t="shared" si="8"/>
        <v>0</v>
      </c>
    </row>
    <row r="12" spans="1:12" ht="15" thickBot="1">
      <c r="A12" s="100" t="s">
        <v>611</v>
      </c>
      <c r="B12" s="79">
        <v>1404067841.72</v>
      </c>
      <c r="C12" s="77">
        <v>0</v>
      </c>
      <c r="D12" s="79">
        <v>1404067841.72</v>
      </c>
      <c r="F12" s="87">
        <f>NFS!J35</f>
        <v>1404067841.72</v>
      </c>
      <c r="G12" s="87">
        <f t="shared" si="5"/>
        <v>0</v>
      </c>
      <c r="H12" s="87">
        <f t="shared" si="6"/>
        <v>1404067841.72</v>
      </c>
      <c r="I12" s="87">
        <f>NFS!D35</f>
        <v>1404067841.72</v>
      </c>
      <c r="J12" s="87">
        <f t="shared" si="2"/>
        <v>0</v>
      </c>
      <c r="K12" s="87">
        <f t="shared" si="7"/>
        <v>0</v>
      </c>
      <c r="L12" s="210">
        <f t="shared" si="8"/>
        <v>0</v>
      </c>
    </row>
    <row r="13" spans="1:12" ht="15" thickBot="1">
      <c r="A13" s="204" t="s">
        <v>612</v>
      </c>
      <c r="B13" s="205">
        <v>1423914449.9100001</v>
      </c>
      <c r="C13" s="206">
        <v>0</v>
      </c>
      <c r="D13" s="205">
        <v>1423914449.9100001</v>
      </c>
    </row>
    <row r="14" spans="1:12">
      <c r="A14" s="100" t="s">
        <v>186</v>
      </c>
      <c r="B14" s="79">
        <v>322277191.19999999</v>
      </c>
      <c r="C14" s="77">
        <v>0</v>
      </c>
      <c r="D14" s="79">
        <v>322277191.19999999</v>
      </c>
      <c r="F14" s="87">
        <f>NFS!J57</f>
        <v>322277191.19999999</v>
      </c>
      <c r="G14" s="87">
        <f t="shared" si="5"/>
        <v>0</v>
      </c>
      <c r="H14" s="87">
        <f t="shared" si="6"/>
        <v>322277191.19999999</v>
      </c>
      <c r="I14" s="87">
        <f>NFS!D57</f>
        <v>322277191.19999999</v>
      </c>
      <c r="J14" s="87">
        <f t="shared" si="2"/>
        <v>0</v>
      </c>
      <c r="K14" s="87">
        <f t="shared" ref="K14" si="9">+B14-F14</f>
        <v>0</v>
      </c>
      <c r="L14" s="210">
        <f t="shared" ref="L14" si="10">+D14-I14</f>
        <v>0</v>
      </c>
    </row>
    <row r="15" spans="1:12">
      <c r="A15" s="100" t="s">
        <v>187</v>
      </c>
      <c r="B15" s="79">
        <v>7024061617.4899998</v>
      </c>
      <c r="C15" s="104">
        <v>1834883456.46</v>
      </c>
      <c r="D15" s="79">
        <v>8858945073.9500008</v>
      </c>
      <c r="F15" s="87">
        <f>NFS!J58</f>
        <v>7024061617.4899998</v>
      </c>
      <c r="G15" s="87">
        <f t="shared" si="5"/>
        <v>1834883456.46</v>
      </c>
      <c r="H15" s="87">
        <f t="shared" si="6"/>
        <v>8858945073.9500008</v>
      </c>
      <c r="I15" s="87">
        <f>NFS!D58</f>
        <v>8858945073.9500008</v>
      </c>
      <c r="J15" s="87">
        <f t="shared" si="2"/>
        <v>0</v>
      </c>
      <c r="K15" s="87">
        <f t="shared" ref="K15:K28" si="11">+B15-F15</f>
        <v>0</v>
      </c>
      <c r="L15" s="210">
        <f t="shared" ref="L15:L28" si="12">+D15-I15</f>
        <v>0</v>
      </c>
    </row>
    <row r="16" spans="1:12">
      <c r="A16" s="100" t="s">
        <v>613</v>
      </c>
      <c r="B16" s="79">
        <v>3514868582.1500001</v>
      </c>
      <c r="C16" s="79">
        <v>2268794725.5799999</v>
      </c>
      <c r="D16" s="79">
        <v>5783663307.7299995</v>
      </c>
      <c r="F16" s="87">
        <f>NFS!J59</f>
        <v>3514868582.1500001</v>
      </c>
      <c r="G16" s="87">
        <f t="shared" si="5"/>
        <v>2268794725.5799999</v>
      </c>
      <c r="H16" s="87">
        <f t="shared" si="6"/>
        <v>5783663307.7299995</v>
      </c>
      <c r="I16" s="87">
        <f>NFS!D59</f>
        <v>5783663307.7299995</v>
      </c>
      <c r="J16" s="87">
        <f t="shared" si="2"/>
        <v>0</v>
      </c>
      <c r="K16" s="87">
        <f t="shared" si="11"/>
        <v>0</v>
      </c>
      <c r="L16" s="210">
        <f t="shared" si="12"/>
        <v>0</v>
      </c>
    </row>
    <row r="17" spans="1:12">
      <c r="A17" s="100" t="s">
        <v>189</v>
      </c>
      <c r="B17" s="79">
        <v>200178534.59</v>
      </c>
      <c r="C17" s="77">
        <v>0</v>
      </c>
      <c r="D17" s="79">
        <v>200178534.59</v>
      </c>
      <c r="F17" s="87">
        <f>NFS!J60</f>
        <v>200178534.59</v>
      </c>
      <c r="G17" s="87">
        <f t="shared" si="5"/>
        <v>0</v>
      </c>
      <c r="H17" s="87">
        <f t="shared" si="6"/>
        <v>200178534.59</v>
      </c>
      <c r="I17" s="87">
        <f>NFS!D60</f>
        <v>200178534.59</v>
      </c>
      <c r="J17" s="87">
        <f t="shared" si="2"/>
        <v>0</v>
      </c>
      <c r="K17" s="87">
        <f t="shared" si="11"/>
        <v>0</v>
      </c>
      <c r="L17" s="210">
        <f t="shared" si="12"/>
        <v>0</v>
      </c>
    </row>
    <row r="18" spans="1:12">
      <c r="A18" s="100" t="s">
        <v>192</v>
      </c>
      <c r="B18" s="79">
        <v>77410239.150000006</v>
      </c>
      <c r="C18" s="77">
        <v>0</v>
      </c>
      <c r="D18" s="79">
        <v>77410239.150000006</v>
      </c>
      <c r="F18" s="87">
        <f>NFS!J63</f>
        <v>77410239.150000006</v>
      </c>
      <c r="G18" s="87">
        <f t="shared" si="5"/>
        <v>0</v>
      </c>
      <c r="H18" s="87">
        <f t="shared" si="6"/>
        <v>77410239.150000006</v>
      </c>
      <c r="I18" s="87">
        <f>NFS!D63</f>
        <v>77410239.150000006</v>
      </c>
      <c r="J18" s="87">
        <f t="shared" si="2"/>
        <v>0</v>
      </c>
      <c r="K18" s="87">
        <f t="shared" si="11"/>
        <v>0</v>
      </c>
      <c r="L18" s="210">
        <f t="shared" si="12"/>
        <v>0</v>
      </c>
    </row>
    <row r="19" spans="1:12" ht="27.6">
      <c r="A19" s="100" t="s">
        <v>614</v>
      </c>
      <c r="B19" s="79">
        <v>323531184.69999999</v>
      </c>
      <c r="C19" s="77">
        <v>0</v>
      </c>
      <c r="D19" s="79">
        <v>323531184.69999999</v>
      </c>
      <c r="F19" s="87">
        <f>NFS!J66</f>
        <v>323531184.69999999</v>
      </c>
      <c r="G19" s="87">
        <f t="shared" si="5"/>
        <v>0</v>
      </c>
      <c r="H19" s="87">
        <f t="shared" si="6"/>
        <v>323531184.69999999</v>
      </c>
      <c r="I19" s="87">
        <f>NFS!D66</f>
        <v>323531184.69999999</v>
      </c>
      <c r="J19" s="87">
        <f t="shared" si="2"/>
        <v>0</v>
      </c>
      <c r="K19" s="87">
        <f t="shared" si="11"/>
        <v>0</v>
      </c>
      <c r="L19" s="210">
        <f t="shared" si="12"/>
        <v>0</v>
      </c>
    </row>
    <row r="20" spans="1:12" ht="27.6">
      <c r="A20" s="100" t="s">
        <v>615</v>
      </c>
      <c r="B20" s="79">
        <v>161196382.36000001</v>
      </c>
      <c r="C20" s="79">
        <v>-150064999.78</v>
      </c>
      <c r="D20" s="79">
        <v>11131382.58</v>
      </c>
      <c r="F20" s="87">
        <f>NFS!J67</f>
        <v>161196382.36000001</v>
      </c>
      <c r="G20" s="87">
        <f t="shared" si="5"/>
        <v>-150064999.78</v>
      </c>
      <c r="H20" s="87">
        <f t="shared" si="6"/>
        <v>11131382.580000013</v>
      </c>
      <c r="I20" s="87">
        <f>NFS!D67</f>
        <v>11131382.58</v>
      </c>
      <c r="J20" s="87">
        <f t="shared" si="2"/>
        <v>0</v>
      </c>
      <c r="K20" s="87">
        <f t="shared" si="11"/>
        <v>0</v>
      </c>
      <c r="L20" s="210">
        <f t="shared" si="12"/>
        <v>0</v>
      </c>
    </row>
    <row r="21" spans="1:12">
      <c r="A21" s="100" t="s">
        <v>196</v>
      </c>
      <c r="B21" s="79">
        <v>77717364.939999998</v>
      </c>
      <c r="C21" s="77">
        <v>0</v>
      </c>
      <c r="D21" s="79">
        <v>77717364.939999998</v>
      </c>
      <c r="F21" s="87">
        <f>NFS!J68</f>
        <v>77717364.939999998</v>
      </c>
      <c r="G21" s="87">
        <f t="shared" si="5"/>
        <v>0</v>
      </c>
      <c r="H21" s="87">
        <f t="shared" si="6"/>
        <v>77717364.939999998</v>
      </c>
      <c r="I21" s="87">
        <f>NFS!D68</f>
        <v>77717364.939999998</v>
      </c>
      <c r="J21" s="87">
        <f t="shared" si="2"/>
        <v>0</v>
      </c>
      <c r="K21" s="87">
        <f t="shared" si="11"/>
        <v>0</v>
      </c>
      <c r="L21" s="210">
        <f t="shared" si="12"/>
        <v>0</v>
      </c>
    </row>
    <row r="22" spans="1:12">
      <c r="A22" s="100" t="s">
        <v>197</v>
      </c>
      <c r="B22" s="79">
        <v>60484468.700000003</v>
      </c>
      <c r="C22" s="77">
        <v>0</v>
      </c>
      <c r="D22" s="79">
        <v>60484468.700000003</v>
      </c>
      <c r="F22" s="87">
        <f>NFS!J69</f>
        <v>60484468.700000003</v>
      </c>
      <c r="G22" s="87">
        <f t="shared" si="5"/>
        <v>0</v>
      </c>
      <c r="H22" s="87">
        <f t="shared" si="6"/>
        <v>60484468.700000003</v>
      </c>
      <c r="I22" s="87">
        <f>NFS!D69</f>
        <v>60484468.700000003</v>
      </c>
      <c r="J22" s="87">
        <f t="shared" si="2"/>
        <v>0</v>
      </c>
      <c r="K22" s="87">
        <f t="shared" si="11"/>
        <v>0</v>
      </c>
      <c r="L22" s="210">
        <f t="shared" si="12"/>
        <v>0</v>
      </c>
    </row>
    <row r="23" spans="1:12">
      <c r="A23" s="100" t="s">
        <v>199</v>
      </c>
      <c r="B23" s="79">
        <v>8623335.1300000008</v>
      </c>
      <c r="C23" s="77">
        <v>0</v>
      </c>
      <c r="D23" s="79">
        <v>8623335.1300000008</v>
      </c>
      <c r="F23" s="87">
        <f>NFS!J72</f>
        <v>8623335.1300000008</v>
      </c>
      <c r="G23" s="87">
        <f t="shared" si="5"/>
        <v>0</v>
      </c>
      <c r="H23" s="87">
        <f t="shared" si="6"/>
        <v>8623335.1300000008</v>
      </c>
      <c r="I23" s="87">
        <f>NFS!D72</f>
        <v>8623335.1300000008</v>
      </c>
      <c r="J23" s="87">
        <f t="shared" si="2"/>
        <v>0</v>
      </c>
      <c r="K23" s="87">
        <f t="shared" si="11"/>
        <v>0</v>
      </c>
      <c r="L23" s="210">
        <f t="shared" si="12"/>
        <v>0</v>
      </c>
    </row>
    <row r="24" spans="1:12" ht="27.6">
      <c r="A24" s="100" t="s">
        <v>616</v>
      </c>
      <c r="B24" s="79">
        <v>184982292.69999999</v>
      </c>
      <c r="C24" s="79">
        <v>-79296302.609999999</v>
      </c>
      <c r="D24" s="79">
        <v>105685990.09</v>
      </c>
      <c r="F24" s="87">
        <f>NFS!J73</f>
        <v>184982292.69999999</v>
      </c>
      <c r="G24" s="87">
        <f t="shared" si="5"/>
        <v>-79296302.609999999</v>
      </c>
      <c r="H24" s="87">
        <f t="shared" si="6"/>
        <v>105685990.08999999</v>
      </c>
      <c r="I24" s="87">
        <f>NFS!D73</f>
        <v>105685990.09</v>
      </c>
      <c r="J24" s="87">
        <f t="shared" si="2"/>
        <v>0</v>
      </c>
      <c r="K24" s="87">
        <f t="shared" si="11"/>
        <v>0</v>
      </c>
      <c r="L24" s="210">
        <f t="shared" si="12"/>
        <v>0</v>
      </c>
    </row>
    <row r="25" spans="1:12" ht="27.6">
      <c r="A25" s="100" t="s">
        <v>617</v>
      </c>
      <c r="B25" s="79">
        <v>3119326.02</v>
      </c>
      <c r="C25" s="77">
        <v>0</v>
      </c>
      <c r="D25" s="79">
        <v>3119326.02</v>
      </c>
      <c r="F25" s="87">
        <f>NFS!J74</f>
        <v>3119326.02</v>
      </c>
      <c r="G25" s="87">
        <f t="shared" si="5"/>
        <v>0</v>
      </c>
      <c r="H25" s="87">
        <f t="shared" si="6"/>
        <v>3119326.02</v>
      </c>
      <c r="I25" s="87">
        <f>NFS!D74</f>
        <v>3119326.02</v>
      </c>
      <c r="J25" s="87">
        <f t="shared" si="2"/>
        <v>0</v>
      </c>
      <c r="K25" s="87">
        <f t="shared" si="11"/>
        <v>0</v>
      </c>
      <c r="L25" s="210">
        <f t="shared" si="12"/>
        <v>0</v>
      </c>
    </row>
    <row r="26" spans="1:12" ht="27.6">
      <c r="A26" s="100" t="s">
        <v>203</v>
      </c>
      <c r="B26" s="79">
        <v>1972954.21</v>
      </c>
      <c r="C26" s="77">
        <v>0</v>
      </c>
      <c r="D26" s="79">
        <v>1972954.21</v>
      </c>
      <c r="F26" s="87">
        <f>NFS!J77</f>
        <v>1972954.21</v>
      </c>
      <c r="G26" s="87">
        <f t="shared" si="5"/>
        <v>0</v>
      </c>
      <c r="H26" s="87">
        <f t="shared" si="6"/>
        <v>1972954.21</v>
      </c>
      <c r="I26" s="87">
        <f>NFS!D77</f>
        <v>1972954.21</v>
      </c>
      <c r="J26" s="87">
        <f t="shared" si="2"/>
        <v>0</v>
      </c>
      <c r="K26" s="87">
        <f t="shared" si="11"/>
        <v>0</v>
      </c>
      <c r="L26" s="210">
        <f t="shared" si="12"/>
        <v>0</v>
      </c>
    </row>
    <row r="27" spans="1:12">
      <c r="A27" s="100" t="s">
        <v>618</v>
      </c>
      <c r="B27" s="79">
        <v>17743.560000000001</v>
      </c>
      <c r="C27" s="79">
        <v>1274263.8400000001</v>
      </c>
      <c r="D27" s="79">
        <v>1292007.3999999999</v>
      </c>
      <c r="F27" s="87">
        <f>NFS!J78</f>
        <v>17743.560000000001</v>
      </c>
      <c r="G27" s="87">
        <f t="shared" si="5"/>
        <v>1274263.8400000001</v>
      </c>
      <c r="H27" s="87">
        <f t="shared" si="6"/>
        <v>1292007.4000000001</v>
      </c>
      <c r="I27" s="87">
        <f>NFS!D78</f>
        <v>1292007.3999999999</v>
      </c>
      <c r="J27" s="87">
        <f t="shared" si="2"/>
        <v>0</v>
      </c>
      <c r="K27" s="87">
        <f t="shared" si="11"/>
        <v>0</v>
      </c>
      <c r="L27" s="210">
        <f t="shared" si="12"/>
        <v>0</v>
      </c>
    </row>
    <row r="28" spans="1:12" ht="15" thickBot="1">
      <c r="A28" s="100" t="s">
        <v>202</v>
      </c>
      <c r="B28" s="79">
        <v>1887167515.9100001</v>
      </c>
      <c r="C28" s="79">
        <v>36226.959999999999</v>
      </c>
      <c r="D28" s="79">
        <v>1887203742.8699999</v>
      </c>
      <c r="F28" s="87">
        <f>NFS!J79</f>
        <v>1887167515.9100001</v>
      </c>
      <c r="G28" s="87">
        <f t="shared" si="5"/>
        <v>36226.959999999999</v>
      </c>
      <c r="H28" s="87">
        <f t="shared" si="6"/>
        <v>1887203742.8700001</v>
      </c>
      <c r="I28" s="87">
        <f>NFS!D79</f>
        <v>1887203742.8699999</v>
      </c>
      <c r="J28" s="87">
        <f t="shared" si="2"/>
        <v>0</v>
      </c>
      <c r="K28" s="87">
        <f t="shared" si="11"/>
        <v>0</v>
      </c>
      <c r="L28" s="210">
        <f t="shared" si="12"/>
        <v>0</v>
      </c>
    </row>
    <row r="29" spans="1:12" ht="15" thickBot="1">
      <c r="A29" s="204" t="s">
        <v>619</v>
      </c>
      <c r="B29" s="207">
        <v>13847608732.809999</v>
      </c>
      <c r="C29" s="205">
        <v>3875627370.4499998</v>
      </c>
      <c r="D29" s="205">
        <v>17723236103.259998</v>
      </c>
    </row>
    <row r="30" spans="1:12">
      <c r="A30" s="100" t="s">
        <v>240</v>
      </c>
      <c r="B30" s="79">
        <v>25699950</v>
      </c>
      <c r="C30" s="77">
        <v>0</v>
      </c>
      <c r="D30" s="79">
        <v>25699950</v>
      </c>
      <c r="F30" s="87">
        <f>NFS!J139</f>
        <v>25699950</v>
      </c>
      <c r="G30" s="87">
        <f t="shared" si="5"/>
        <v>0</v>
      </c>
      <c r="H30" s="87">
        <f t="shared" si="6"/>
        <v>25699950</v>
      </c>
      <c r="I30" s="87">
        <f>NFS!D139</f>
        <v>25699950</v>
      </c>
      <c r="J30" s="87">
        <f>+H30-I30</f>
        <v>0</v>
      </c>
      <c r="K30" s="87">
        <f t="shared" ref="K30:K39" si="13">+B30-F30</f>
        <v>0</v>
      </c>
      <c r="L30" s="210">
        <f t="shared" ref="L30:L39" si="14">+D30-I30</f>
        <v>0</v>
      </c>
    </row>
    <row r="31" spans="1:12">
      <c r="A31" s="100" t="s">
        <v>241</v>
      </c>
      <c r="B31" s="79">
        <v>53159368.600000001</v>
      </c>
      <c r="C31" s="77">
        <v>0</v>
      </c>
      <c r="D31" s="79">
        <v>53159368.600000001</v>
      </c>
      <c r="F31" s="87">
        <f>NFS!J140</f>
        <v>53159368.600000001</v>
      </c>
      <c r="G31" s="87">
        <f t="shared" si="5"/>
        <v>0</v>
      </c>
      <c r="H31" s="87">
        <f t="shared" si="6"/>
        <v>53159368.600000001</v>
      </c>
      <c r="I31" s="87">
        <f>NFS!D140</f>
        <v>53159368.600000001</v>
      </c>
      <c r="J31" s="87">
        <f t="shared" si="2"/>
        <v>0</v>
      </c>
      <c r="K31" s="87">
        <f t="shared" si="13"/>
        <v>0</v>
      </c>
      <c r="L31" s="210">
        <f t="shared" si="14"/>
        <v>0</v>
      </c>
    </row>
    <row r="32" spans="1:12" ht="27.6">
      <c r="A32" s="100" t="s">
        <v>620</v>
      </c>
      <c r="B32" s="79">
        <v>2097324</v>
      </c>
      <c r="C32" s="77">
        <v>0</v>
      </c>
      <c r="D32" s="79">
        <v>2097324</v>
      </c>
      <c r="F32" s="87">
        <f>NFS!J141</f>
        <v>2097324</v>
      </c>
      <c r="G32" s="87">
        <f t="shared" si="5"/>
        <v>0</v>
      </c>
      <c r="H32" s="87">
        <f t="shared" si="6"/>
        <v>2097324</v>
      </c>
      <c r="I32" s="87">
        <f>NFS!D141</f>
        <v>2097324</v>
      </c>
      <c r="J32" s="87">
        <f t="shared" si="2"/>
        <v>0</v>
      </c>
      <c r="K32" s="87">
        <f t="shared" si="13"/>
        <v>0</v>
      </c>
      <c r="L32" s="210">
        <f t="shared" si="14"/>
        <v>0</v>
      </c>
    </row>
    <row r="33" spans="1:12">
      <c r="A33" s="100" t="s">
        <v>581</v>
      </c>
      <c r="B33" s="79">
        <v>638200</v>
      </c>
      <c r="C33" s="77">
        <v>0</v>
      </c>
      <c r="D33" s="79">
        <v>638200</v>
      </c>
      <c r="F33" s="87">
        <f>NFS!J143</f>
        <v>638200</v>
      </c>
      <c r="G33" s="87">
        <f t="shared" si="5"/>
        <v>0</v>
      </c>
      <c r="H33" s="87">
        <f t="shared" si="6"/>
        <v>638200</v>
      </c>
      <c r="I33" s="87">
        <f>NFS!D143</f>
        <v>638200</v>
      </c>
      <c r="J33" s="87">
        <f t="shared" si="2"/>
        <v>0</v>
      </c>
      <c r="K33" s="87">
        <f t="shared" si="13"/>
        <v>0</v>
      </c>
      <c r="L33" s="210">
        <f t="shared" si="14"/>
        <v>0</v>
      </c>
    </row>
    <row r="34" spans="1:12">
      <c r="A34" s="100" t="s">
        <v>247</v>
      </c>
      <c r="B34" s="79">
        <v>16232842.41</v>
      </c>
      <c r="C34" s="77">
        <v>0</v>
      </c>
      <c r="D34" s="79">
        <v>16232842.41</v>
      </c>
      <c r="F34" s="87">
        <f>NFS!J147</f>
        <v>16232842.41</v>
      </c>
      <c r="G34" s="87">
        <f t="shared" si="5"/>
        <v>0</v>
      </c>
      <c r="H34" s="87">
        <f t="shared" si="6"/>
        <v>16232842.41</v>
      </c>
      <c r="I34" s="87">
        <f>NFS!D147</f>
        <v>16232842.41</v>
      </c>
      <c r="J34" s="87">
        <f t="shared" si="2"/>
        <v>0</v>
      </c>
      <c r="K34" s="87">
        <f t="shared" si="13"/>
        <v>0</v>
      </c>
      <c r="L34" s="210">
        <f t="shared" si="14"/>
        <v>0</v>
      </c>
    </row>
    <row r="35" spans="1:12">
      <c r="A35" s="100" t="s">
        <v>248</v>
      </c>
      <c r="B35" s="79">
        <v>122892035.88</v>
      </c>
      <c r="C35" s="77">
        <v>0</v>
      </c>
      <c r="D35" s="79">
        <v>122892035.88</v>
      </c>
      <c r="F35" s="87">
        <f>NFS!J148</f>
        <v>122892035.88</v>
      </c>
      <c r="G35" s="87">
        <f t="shared" si="5"/>
        <v>0</v>
      </c>
      <c r="H35" s="87">
        <f t="shared" si="6"/>
        <v>122892035.88</v>
      </c>
      <c r="I35" s="87">
        <f>NFS!D148</f>
        <v>122892035.88</v>
      </c>
      <c r="J35" s="87">
        <f t="shared" si="2"/>
        <v>0</v>
      </c>
      <c r="K35" s="87">
        <f t="shared" si="13"/>
        <v>0</v>
      </c>
      <c r="L35" s="210">
        <f t="shared" si="14"/>
        <v>0</v>
      </c>
    </row>
    <row r="36" spans="1:12" ht="27.6">
      <c r="A36" s="100" t="s">
        <v>621</v>
      </c>
      <c r="B36" s="79">
        <v>218473029.19999999</v>
      </c>
      <c r="C36" s="77">
        <v>0</v>
      </c>
      <c r="D36" s="79">
        <v>218473029.19999999</v>
      </c>
      <c r="F36" s="87">
        <f>NFS!J149</f>
        <v>218473029.19999999</v>
      </c>
      <c r="G36" s="87">
        <f t="shared" si="5"/>
        <v>0</v>
      </c>
      <c r="H36" s="87">
        <f t="shared" si="6"/>
        <v>218473029.19999999</v>
      </c>
      <c r="I36" s="87">
        <f>NFS!D149</f>
        <v>218473029.19999999</v>
      </c>
      <c r="J36" s="87">
        <f t="shared" si="2"/>
        <v>0</v>
      </c>
      <c r="K36" s="87">
        <f t="shared" si="13"/>
        <v>0</v>
      </c>
      <c r="L36" s="210">
        <f t="shared" si="14"/>
        <v>0</v>
      </c>
    </row>
    <row r="37" spans="1:12">
      <c r="A37" s="100" t="s">
        <v>622</v>
      </c>
      <c r="B37" s="79">
        <v>7604051.5899999999</v>
      </c>
      <c r="C37" s="77">
        <v>0</v>
      </c>
      <c r="D37" s="79">
        <v>7604051.5899999999</v>
      </c>
      <c r="F37" s="87">
        <f>NFS!J151</f>
        <v>7604051.5899999999</v>
      </c>
      <c r="G37" s="87">
        <f t="shared" si="5"/>
        <v>0</v>
      </c>
      <c r="H37" s="87">
        <f t="shared" si="6"/>
        <v>7604051.5899999999</v>
      </c>
      <c r="I37" s="87">
        <f>NFS!D151</f>
        <v>7604051.5899999999</v>
      </c>
      <c r="J37" s="87">
        <f t="shared" si="2"/>
        <v>0</v>
      </c>
      <c r="K37" s="87">
        <f t="shared" si="13"/>
        <v>0</v>
      </c>
      <c r="L37" s="210">
        <f t="shared" si="14"/>
        <v>0</v>
      </c>
    </row>
    <row r="38" spans="1:12" ht="27.6">
      <c r="A38" s="100" t="s">
        <v>623</v>
      </c>
      <c r="B38" s="79">
        <v>99581267.310000002</v>
      </c>
      <c r="C38" s="77">
        <v>0</v>
      </c>
      <c r="D38" s="79">
        <v>99581267.310000002</v>
      </c>
      <c r="F38" s="87">
        <f>NFS!J156</f>
        <v>99581267.310000002</v>
      </c>
      <c r="G38" s="87">
        <f t="shared" si="5"/>
        <v>0</v>
      </c>
      <c r="H38" s="87">
        <f t="shared" si="6"/>
        <v>99581267.310000002</v>
      </c>
      <c r="I38" s="87">
        <f>NFS!D156</f>
        <v>99581267.310000002</v>
      </c>
      <c r="J38" s="87">
        <f t="shared" si="2"/>
        <v>0</v>
      </c>
      <c r="K38" s="87">
        <f t="shared" si="13"/>
        <v>0</v>
      </c>
      <c r="L38" s="210">
        <f t="shared" si="14"/>
        <v>0</v>
      </c>
    </row>
    <row r="39" spans="1:12" ht="28.2" thickBot="1">
      <c r="A39" s="100" t="s">
        <v>624</v>
      </c>
      <c r="B39" s="79">
        <v>156463043.91</v>
      </c>
      <c r="C39" s="77">
        <v>0</v>
      </c>
      <c r="D39" s="79">
        <v>156463043.91</v>
      </c>
      <c r="F39" s="87">
        <f>NFS!J154</f>
        <v>156463043.91</v>
      </c>
      <c r="G39" s="87">
        <f t="shared" si="5"/>
        <v>0</v>
      </c>
      <c r="H39" s="87">
        <f t="shared" si="6"/>
        <v>156463043.91</v>
      </c>
      <c r="I39" s="87">
        <f>NFS!D154</f>
        <v>156463043.91</v>
      </c>
      <c r="J39" s="87">
        <f t="shared" si="2"/>
        <v>0</v>
      </c>
      <c r="K39" s="87">
        <f t="shared" si="13"/>
        <v>0</v>
      </c>
      <c r="L39" s="210">
        <f t="shared" si="14"/>
        <v>0</v>
      </c>
    </row>
    <row r="40" spans="1:12" ht="15" thickBot="1">
      <c r="A40" s="204" t="s">
        <v>625</v>
      </c>
      <c r="B40" s="205">
        <v>702841112.89999998</v>
      </c>
      <c r="C40" s="198">
        <v>0</v>
      </c>
      <c r="D40" s="205">
        <v>702841112.89999998</v>
      </c>
      <c r="L40" s="210"/>
    </row>
    <row r="41" spans="1:12">
      <c r="A41" s="100" t="s">
        <v>271</v>
      </c>
      <c r="B41" s="215">
        <v>1212696618.6700001</v>
      </c>
      <c r="C41" s="216">
        <v>0.48</v>
      </c>
      <c r="D41" s="79">
        <v>1212696619.1500001</v>
      </c>
      <c r="F41" s="87">
        <f>NFS!J191</f>
        <v>1212696618.6700001</v>
      </c>
      <c r="G41" s="87">
        <f t="shared" si="5"/>
        <v>0.48</v>
      </c>
      <c r="H41" s="87">
        <f t="shared" si="6"/>
        <v>1212696619.1500001</v>
      </c>
      <c r="I41" s="87">
        <f>NFS!D191</f>
        <v>1212696619.1500001</v>
      </c>
      <c r="J41" s="87">
        <f>+H41-I41</f>
        <v>0</v>
      </c>
      <c r="K41" s="87">
        <f>+B41-F41</f>
        <v>0</v>
      </c>
      <c r="L41" s="210">
        <f t="shared" ref="L41:L43" si="15">+D41-I41</f>
        <v>0</v>
      </c>
    </row>
    <row r="42" spans="1:12">
      <c r="A42" s="100" t="s">
        <v>272</v>
      </c>
      <c r="B42" s="79">
        <v>69515741.75</v>
      </c>
      <c r="C42" s="77">
        <v>0</v>
      </c>
      <c r="D42" s="79">
        <v>69515741.75</v>
      </c>
      <c r="F42" s="87">
        <f>NFS!J192</f>
        <v>69515741.75</v>
      </c>
      <c r="G42" s="87">
        <f t="shared" si="5"/>
        <v>0</v>
      </c>
      <c r="H42" s="87">
        <f t="shared" si="6"/>
        <v>69515741.75</v>
      </c>
      <c r="I42" s="87">
        <f>NFS!D192</f>
        <v>69515741.75</v>
      </c>
      <c r="J42" s="87">
        <f t="shared" si="2"/>
        <v>0</v>
      </c>
      <c r="K42" s="87">
        <f t="shared" ref="K42:K43" si="16">+B42-F42</f>
        <v>0</v>
      </c>
      <c r="L42" s="210">
        <f t="shared" si="15"/>
        <v>0</v>
      </c>
    </row>
    <row r="43" spans="1:12">
      <c r="A43" s="100" t="s">
        <v>273</v>
      </c>
      <c r="B43" s="79">
        <v>8732106.5</v>
      </c>
      <c r="C43" s="77">
        <v>0</v>
      </c>
      <c r="D43" s="79">
        <v>8732106.5</v>
      </c>
      <c r="F43" s="87">
        <f>NFS!J193</f>
        <v>8732106.5</v>
      </c>
      <c r="G43" s="87">
        <f t="shared" si="5"/>
        <v>0</v>
      </c>
      <c r="H43" s="87">
        <f t="shared" si="6"/>
        <v>8732106.5</v>
      </c>
      <c r="I43" s="87">
        <f>NFS!D193</f>
        <v>8732106.5</v>
      </c>
      <c r="J43" s="87">
        <f t="shared" si="2"/>
        <v>0</v>
      </c>
      <c r="K43" s="87">
        <f t="shared" si="16"/>
        <v>0</v>
      </c>
      <c r="L43" s="210">
        <f t="shared" si="15"/>
        <v>0</v>
      </c>
    </row>
    <row r="44" spans="1:12">
      <c r="A44" s="100" t="s">
        <v>274</v>
      </c>
      <c r="B44" s="79">
        <v>83671581.140000001</v>
      </c>
      <c r="C44" s="77">
        <v>0</v>
      </c>
      <c r="D44" s="79">
        <v>83671581.140000001</v>
      </c>
      <c r="F44" s="87">
        <f>NFS!J194</f>
        <v>85031797.239999995</v>
      </c>
      <c r="G44" s="87">
        <f>+C44+C45</f>
        <v>0</v>
      </c>
      <c r="H44" s="87">
        <f t="shared" si="6"/>
        <v>85031797.239999995</v>
      </c>
      <c r="I44" s="87">
        <f>NFS!D194</f>
        <v>85031797.239999995</v>
      </c>
      <c r="J44" s="87">
        <f>+H44-I44</f>
        <v>0</v>
      </c>
      <c r="K44" s="87">
        <f>+B44+B45-F44</f>
        <v>0</v>
      </c>
      <c r="L44" s="210">
        <f>+D44+D45-I44</f>
        <v>0</v>
      </c>
    </row>
    <row r="45" spans="1:12" ht="15" thickBot="1">
      <c r="A45" s="100" t="s">
        <v>626</v>
      </c>
      <c r="B45" s="79">
        <v>1360216.1</v>
      </c>
      <c r="C45" s="77">
        <v>0</v>
      </c>
      <c r="D45" s="79">
        <v>1360216.1</v>
      </c>
      <c r="L45" s="210"/>
    </row>
    <row r="46" spans="1:12" ht="28.2" thickBot="1">
      <c r="A46" s="204" t="s">
        <v>627</v>
      </c>
      <c r="B46" s="217">
        <v>1375976264.1600001</v>
      </c>
      <c r="C46" s="206">
        <v>0.48</v>
      </c>
      <c r="D46" s="205">
        <v>1375976264.6400001</v>
      </c>
    </row>
    <row r="47" spans="1:12" ht="15" thickBot="1">
      <c r="A47" s="185" t="s">
        <v>9</v>
      </c>
      <c r="B47" s="218">
        <v>28215254596.310001</v>
      </c>
      <c r="C47" s="190">
        <v>3863038403.5300002</v>
      </c>
      <c r="D47" s="190">
        <v>32078292999.84</v>
      </c>
    </row>
    <row r="48" spans="1:12" ht="15" thickBot="1">
      <c r="A48" s="100" t="s">
        <v>277</v>
      </c>
      <c r="B48" s="79">
        <v>248912041.84999999</v>
      </c>
      <c r="C48" s="77">
        <v>0</v>
      </c>
      <c r="D48" s="79">
        <v>248912041.84999999</v>
      </c>
      <c r="F48" s="87">
        <f>NFS!J203</f>
        <v>248912041.84999999</v>
      </c>
      <c r="G48" s="87">
        <f t="shared" si="5"/>
        <v>0</v>
      </c>
      <c r="H48" s="87">
        <f t="shared" si="6"/>
        <v>248912041.84999999</v>
      </c>
      <c r="I48" s="87">
        <f>+NFS!D203</f>
        <v>248912041.84999999</v>
      </c>
      <c r="J48" s="87">
        <f t="shared" si="2"/>
        <v>0</v>
      </c>
      <c r="K48" s="87">
        <f t="shared" ref="K48" si="17">+B48-F48</f>
        <v>0</v>
      </c>
      <c r="L48" s="210">
        <f t="shared" ref="L48" si="18">+D48-I48</f>
        <v>0</v>
      </c>
    </row>
    <row r="49" spans="1:12" ht="15" thickBot="1">
      <c r="A49" s="204" t="s">
        <v>628</v>
      </c>
      <c r="B49" s="205">
        <v>248912041.84999999</v>
      </c>
      <c r="C49" s="206">
        <v>0</v>
      </c>
      <c r="D49" s="205">
        <v>248912041.84999999</v>
      </c>
      <c r="L49" s="210"/>
    </row>
    <row r="50" spans="1:12">
      <c r="A50" s="100" t="s">
        <v>279</v>
      </c>
      <c r="B50" s="79">
        <v>3578193399.3200002</v>
      </c>
      <c r="C50" s="77">
        <v>0</v>
      </c>
      <c r="D50" s="79">
        <v>3578193399.3200002</v>
      </c>
      <c r="F50" s="87">
        <f>NFS!J208</f>
        <v>3578193399.3200002</v>
      </c>
      <c r="G50" s="87">
        <f t="shared" si="5"/>
        <v>0</v>
      </c>
      <c r="H50" s="87">
        <f t="shared" si="6"/>
        <v>3578193399.3200002</v>
      </c>
      <c r="I50" s="87">
        <f>NFS!D208</f>
        <v>3578193399.3200002</v>
      </c>
      <c r="J50" s="87">
        <f t="shared" si="2"/>
        <v>0</v>
      </c>
      <c r="K50" s="87">
        <f t="shared" ref="K50:K108" si="19">+B50-F50</f>
        <v>0</v>
      </c>
      <c r="L50" s="210">
        <f t="shared" ref="L50:L108" si="20">+D50-I50</f>
        <v>0</v>
      </c>
    </row>
    <row r="51" spans="1:12">
      <c r="A51" s="100" t="s">
        <v>281</v>
      </c>
      <c r="B51" s="79">
        <v>61263731.18</v>
      </c>
      <c r="C51" s="77">
        <v>0</v>
      </c>
      <c r="D51" s="79">
        <v>61263731.18</v>
      </c>
      <c r="F51" s="87">
        <f>NFS!J210</f>
        <v>61263731.18</v>
      </c>
      <c r="G51" s="87">
        <f t="shared" si="5"/>
        <v>0</v>
      </c>
      <c r="H51" s="87">
        <f t="shared" si="6"/>
        <v>61263731.18</v>
      </c>
      <c r="I51" s="87">
        <f>NFS!D210</f>
        <v>61263731.18</v>
      </c>
      <c r="J51" s="87">
        <f t="shared" si="2"/>
        <v>0</v>
      </c>
      <c r="K51" s="87">
        <f t="shared" si="19"/>
        <v>0</v>
      </c>
      <c r="L51" s="210">
        <f t="shared" si="20"/>
        <v>0</v>
      </c>
    </row>
    <row r="52" spans="1:12">
      <c r="A52" s="100" t="s">
        <v>283</v>
      </c>
      <c r="B52" s="79">
        <v>2196051646.5500002</v>
      </c>
      <c r="C52" s="77">
        <v>0</v>
      </c>
      <c r="D52" s="79">
        <v>2196051646.5500002</v>
      </c>
      <c r="F52" s="87">
        <f>NFS!J212</f>
        <v>2196051646.5500002</v>
      </c>
      <c r="G52" s="87">
        <f t="shared" si="5"/>
        <v>0</v>
      </c>
      <c r="H52" s="87">
        <f t="shared" si="6"/>
        <v>2196051646.5500002</v>
      </c>
      <c r="I52" s="87">
        <f>NFS!D212</f>
        <v>2196051646.5500002</v>
      </c>
      <c r="J52" s="87">
        <f t="shared" si="2"/>
        <v>0</v>
      </c>
      <c r="K52" s="87">
        <f t="shared" si="19"/>
        <v>0</v>
      </c>
      <c r="L52" s="210">
        <f t="shared" si="20"/>
        <v>0</v>
      </c>
    </row>
    <row r="53" spans="1:12">
      <c r="A53" s="100" t="s">
        <v>285</v>
      </c>
      <c r="B53" s="79">
        <v>722986707.88999999</v>
      </c>
      <c r="C53" s="77">
        <v>0</v>
      </c>
      <c r="D53" s="79">
        <v>722986707.88999999</v>
      </c>
      <c r="F53" s="87">
        <f>NFS!J214</f>
        <v>722986707.88999999</v>
      </c>
      <c r="G53" s="87">
        <f t="shared" si="5"/>
        <v>0</v>
      </c>
      <c r="H53" s="87">
        <f t="shared" si="6"/>
        <v>722986707.88999999</v>
      </c>
      <c r="I53" s="87">
        <f>NFS!D214</f>
        <v>722986707.88999999</v>
      </c>
      <c r="J53" s="87">
        <f t="shared" si="2"/>
        <v>0</v>
      </c>
      <c r="K53" s="87">
        <f t="shared" si="19"/>
        <v>0</v>
      </c>
      <c r="L53" s="210">
        <f t="shared" si="20"/>
        <v>0</v>
      </c>
    </row>
    <row r="54" spans="1:12">
      <c r="A54" s="100" t="s">
        <v>286</v>
      </c>
      <c r="B54" s="79">
        <v>1550805045.51</v>
      </c>
      <c r="C54" s="77">
        <v>0</v>
      </c>
      <c r="D54" s="79">
        <v>1550805045.51</v>
      </c>
      <c r="F54" s="87">
        <f>NFS!J215</f>
        <v>1550805045.51</v>
      </c>
      <c r="G54" s="87">
        <f t="shared" si="5"/>
        <v>0</v>
      </c>
      <c r="H54" s="87">
        <f t="shared" si="6"/>
        <v>1550805045.51</v>
      </c>
      <c r="I54" s="87">
        <f>NFS!D215</f>
        <v>1550805045.51</v>
      </c>
      <c r="J54" s="87">
        <f t="shared" si="2"/>
        <v>0</v>
      </c>
      <c r="K54" s="87">
        <f t="shared" si="19"/>
        <v>0</v>
      </c>
      <c r="L54" s="210">
        <f t="shared" si="20"/>
        <v>0</v>
      </c>
    </row>
    <row r="55" spans="1:12">
      <c r="A55" s="100" t="s">
        <v>288</v>
      </c>
      <c r="B55" s="79">
        <v>1496367920.6500001</v>
      </c>
      <c r="C55" s="77">
        <v>0</v>
      </c>
      <c r="D55" s="79">
        <v>1496367920.6500001</v>
      </c>
      <c r="F55" s="87">
        <f>NFS!J217</f>
        <v>1496367920.6500001</v>
      </c>
      <c r="G55" s="87">
        <f t="shared" si="5"/>
        <v>0</v>
      </c>
      <c r="H55" s="87">
        <f t="shared" si="6"/>
        <v>1496367920.6500001</v>
      </c>
      <c r="I55" s="87">
        <f>NFS!D217</f>
        <v>1496367920.6500001</v>
      </c>
      <c r="J55" s="87">
        <f t="shared" si="2"/>
        <v>0</v>
      </c>
      <c r="K55" s="87">
        <f t="shared" si="19"/>
        <v>0</v>
      </c>
      <c r="L55" s="210">
        <f t="shared" si="20"/>
        <v>0</v>
      </c>
    </row>
    <row r="56" spans="1:12">
      <c r="A56" s="100" t="s">
        <v>629</v>
      </c>
      <c r="B56" s="101">
        <v>11945131217.469999</v>
      </c>
      <c r="C56" s="77">
        <v>0</v>
      </c>
      <c r="D56" s="101">
        <v>11945131217.469999</v>
      </c>
      <c r="F56" s="87">
        <f>NFS!J218</f>
        <v>11945131217.469999</v>
      </c>
      <c r="G56" s="87">
        <f t="shared" si="5"/>
        <v>0</v>
      </c>
      <c r="H56" s="87">
        <f t="shared" si="6"/>
        <v>11945131217.469999</v>
      </c>
      <c r="I56" s="87">
        <f>NFS!D218</f>
        <v>11945131217.469999</v>
      </c>
      <c r="J56" s="87">
        <f t="shared" si="2"/>
        <v>0</v>
      </c>
      <c r="K56" s="87">
        <f t="shared" si="19"/>
        <v>0</v>
      </c>
      <c r="L56" s="210">
        <f t="shared" si="20"/>
        <v>0</v>
      </c>
    </row>
    <row r="57" spans="1:12">
      <c r="A57" s="100" t="s">
        <v>290</v>
      </c>
      <c r="B57" s="79">
        <v>1180226580.72</v>
      </c>
      <c r="C57" s="77">
        <v>0</v>
      </c>
      <c r="D57" s="79">
        <v>1180226580.72</v>
      </c>
      <c r="F57" s="87">
        <f>NFS!J219</f>
        <v>1180226580.72</v>
      </c>
      <c r="G57" s="87">
        <f t="shared" si="5"/>
        <v>0</v>
      </c>
      <c r="H57" s="87">
        <f t="shared" si="6"/>
        <v>1180226580.72</v>
      </c>
      <c r="I57" s="87">
        <f>NFS!D219</f>
        <v>1180226580.72</v>
      </c>
      <c r="J57" s="87">
        <f t="shared" si="2"/>
        <v>0</v>
      </c>
      <c r="K57" s="87">
        <f t="shared" si="19"/>
        <v>0</v>
      </c>
      <c r="L57" s="210">
        <f t="shared" si="20"/>
        <v>0</v>
      </c>
    </row>
    <row r="58" spans="1:12">
      <c r="A58" s="100" t="s">
        <v>291</v>
      </c>
      <c r="B58" s="79">
        <v>345781563.47000003</v>
      </c>
      <c r="C58" s="77">
        <v>0</v>
      </c>
      <c r="D58" s="79">
        <v>345781563.47000003</v>
      </c>
      <c r="F58" s="87">
        <f>NFS!J220</f>
        <v>345781563.47000003</v>
      </c>
      <c r="G58" s="87">
        <f t="shared" si="5"/>
        <v>0</v>
      </c>
      <c r="H58" s="87">
        <f t="shared" si="6"/>
        <v>345781563.47000003</v>
      </c>
      <c r="I58" s="87">
        <f>NFS!D220</f>
        <v>345781563.47000003</v>
      </c>
      <c r="J58" s="87">
        <f t="shared" si="2"/>
        <v>0</v>
      </c>
      <c r="K58" s="87">
        <f t="shared" si="19"/>
        <v>0</v>
      </c>
      <c r="L58" s="210">
        <f t="shared" si="20"/>
        <v>0</v>
      </c>
    </row>
    <row r="59" spans="1:12">
      <c r="A59" s="100" t="s">
        <v>292</v>
      </c>
      <c r="B59" s="79">
        <v>5439104.8799999999</v>
      </c>
      <c r="C59" s="77">
        <v>0</v>
      </c>
      <c r="D59" s="79">
        <v>5439104.8799999999</v>
      </c>
      <c r="F59" s="87">
        <f>NFS!J221</f>
        <v>5439104.8799999999</v>
      </c>
      <c r="G59" s="87">
        <f t="shared" si="5"/>
        <v>0</v>
      </c>
      <c r="H59" s="87">
        <f t="shared" si="6"/>
        <v>5439104.8799999999</v>
      </c>
      <c r="I59" s="87">
        <f>NFS!D221</f>
        <v>5439104.8799999999</v>
      </c>
      <c r="J59" s="87">
        <f t="shared" si="2"/>
        <v>0</v>
      </c>
      <c r="K59" s="87">
        <f t="shared" si="19"/>
        <v>0</v>
      </c>
      <c r="L59" s="210">
        <f t="shared" si="20"/>
        <v>0</v>
      </c>
    </row>
    <row r="60" spans="1:12">
      <c r="A60" s="100" t="s">
        <v>293</v>
      </c>
      <c r="B60" s="79">
        <v>1229551772.4400001</v>
      </c>
      <c r="C60" s="77">
        <v>0</v>
      </c>
      <c r="D60" s="79">
        <v>1229551772.4400001</v>
      </c>
      <c r="F60" s="87">
        <f>NFS!J222</f>
        <v>1229551772.4400001</v>
      </c>
      <c r="G60" s="87">
        <f t="shared" si="5"/>
        <v>0</v>
      </c>
      <c r="H60" s="87">
        <f t="shared" si="6"/>
        <v>1229551772.4400001</v>
      </c>
      <c r="I60" s="87">
        <f>NFS!D222</f>
        <v>1229551772.4400001</v>
      </c>
      <c r="J60" s="87">
        <f t="shared" si="2"/>
        <v>0</v>
      </c>
      <c r="K60" s="87">
        <f t="shared" si="19"/>
        <v>0</v>
      </c>
      <c r="L60" s="210">
        <f t="shared" si="20"/>
        <v>0</v>
      </c>
    </row>
    <row r="61" spans="1:12">
      <c r="A61" s="100" t="s">
        <v>295</v>
      </c>
      <c r="B61" s="79">
        <v>2831538.13</v>
      </c>
      <c r="C61" s="77">
        <v>0</v>
      </c>
      <c r="D61" s="79">
        <v>2831538.13</v>
      </c>
      <c r="F61" s="87">
        <f>NFS!J224</f>
        <v>2831538.13</v>
      </c>
      <c r="G61" s="87">
        <f t="shared" si="5"/>
        <v>0</v>
      </c>
      <c r="H61" s="87">
        <f t="shared" si="6"/>
        <v>2831538.13</v>
      </c>
      <c r="I61" s="87">
        <f>NFS!D224</f>
        <v>2831538.13</v>
      </c>
      <c r="J61" s="87">
        <f t="shared" si="2"/>
        <v>0</v>
      </c>
      <c r="K61" s="87">
        <f t="shared" si="19"/>
        <v>0</v>
      </c>
      <c r="L61" s="210">
        <f t="shared" si="20"/>
        <v>0</v>
      </c>
    </row>
    <row r="62" spans="1:12">
      <c r="A62" s="100" t="s">
        <v>296</v>
      </c>
      <c r="B62" s="79">
        <v>115798251.22</v>
      </c>
      <c r="C62" s="77">
        <v>0</v>
      </c>
      <c r="D62" s="79">
        <v>115798251.22</v>
      </c>
      <c r="F62" s="87">
        <f>NFS!J225</f>
        <v>115798251.22</v>
      </c>
      <c r="G62" s="87">
        <f t="shared" si="5"/>
        <v>0</v>
      </c>
      <c r="H62" s="87">
        <f t="shared" si="6"/>
        <v>115798251.22</v>
      </c>
      <c r="I62" s="87">
        <f>NFS!D225</f>
        <v>115798251.22</v>
      </c>
      <c r="J62" s="87">
        <f t="shared" si="2"/>
        <v>0</v>
      </c>
      <c r="K62" s="87">
        <f t="shared" si="19"/>
        <v>0</v>
      </c>
      <c r="L62" s="210">
        <f t="shared" si="20"/>
        <v>0</v>
      </c>
    </row>
    <row r="63" spans="1:12">
      <c r="A63" s="442" t="s">
        <v>630</v>
      </c>
      <c r="B63" s="79">
        <v>367951670.26999998</v>
      </c>
      <c r="C63" s="77">
        <v>0</v>
      </c>
      <c r="D63" s="79">
        <v>367951670.26999998</v>
      </c>
      <c r="F63" s="87">
        <f>NFS!J226</f>
        <v>367951670.26999998</v>
      </c>
      <c r="G63" s="87">
        <f t="shared" si="5"/>
        <v>0</v>
      </c>
      <c r="H63" s="87">
        <f t="shared" si="6"/>
        <v>367951670.26999998</v>
      </c>
      <c r="I63" s="87">
        <f>NFS!D226</f>
        <v>367951670.26999998</v>
      </c>
      <c r="J63" s="87">
        <f t="shared" si="2"/>
        <v>0</v>
      </c>
      <c r="K63" s="87">
        <f t="shared" si="19"/>
        <v>0</v>
      </c>
      <c r="L63" s="210">
        <f t="shared" si="20"/>
        <v>0</v>
      </c>
    </row>
    <row r="64" spans="1:12">
      <c r="A64" s="442"/>
      <c r="B64" s="79"/>
      <c r="C64" s="77"/>
      <c r="D64" s="79"/>
      <c r="F64" s="87">
        <f>NFS!J227</f>
        <v>0</v>
      </c>
      <c r="G64" s="87">
        <f t="shared" si="5"/>
        <v>0</v>
      </c>
      <c r="H64" s="87">
        <f t="shared" si="6"/>
        <v>0</v>
      </c>
      <c r="I64" s="87">
        <f>NFS!D227</f>
        <v>0</v>
      </c>
      <c r="J64" s="87">
        <f t="shared" si="2"/>
        <v>0</v>
      </c>
      <c r="K64" s="87">
        <f t="shared" si="19"/>
        <v>0</v>
      </c>
      <c r="L64" s="210">
        <f t="shared" si="20"/>
        <v>0</v>
      </c>
    </row>
    <row r="65" spans="1:12">
      <c r="A65" s="100" t="s">
        <v>299</v>
      </c>
      <c r="B65" s="79">
        <v>36304867.280000001</v>
      </c>
      <c r="C65" s="77">
        <v>0</v>
      </c>
      <c r="D65" s="79">
        <v>36304867.280000001</v>
      </c>
      <c r="F65" s="87">
        <f>NFS!J228</f>
        <v>36304867.280000001</v>
      </c>
      <c r="G65" s="87">
        <f t="shared" si="5"/>
        <v>0</v>
      </c>
      <c r="H65" s="87">
        <f t="shared" si="6"/>
        <v>36304867.280000001</v>
      </c>
      <c r="I65" s="87">
        <f>NFS!D228</f>
        <v>36304867.280000001</v>
      </c>
      <c r="J65" s="87">
        <f t="shared" si="2"/>
        <v>0</v>
      </c>
      <c r="K65" s="87">
        <f t="shared" si="19"/>
        <v>0</v>
      </c>
      <c r="L65" s="210">
        <f t="shared" si="20"/>
        <v>0</v>
      </c>
    </row>
    <row r="66" spans="1:12">
      <c r="A66" s="442" t="s">
        <v>631</v>
      </c>
      <c r="B66" s="79">
        <v>197229768.69999999</v>
      </c>
      <c r="C66" s="77">
        <v>0</v>
      </c>
      <c r="D66" s="79">
        <v>197229768.69999999</v>
      </c>
      <c r="F66" s="87">
        <f>NFS!J229</f>
        <v>197229768.69999999</v>
      </c>
      <c r="G66" s="87">
        <f t="shared" si="5"/>
        <v>0</v>
      </c>
      <c r="H66" s="87">
        <f t="shared" si="6"/>
        <v>197229768.69999999</v>
      </c>
      <c r="I66" s="87">
        <f>NFS!D229</f>
        <v>197229768.69999999</v>
      </c>
      <c r="J66" s="87">
        <f t="shared" si="2"/>
        <v>0</v>
      </c>
      <c r="K66" s="87">
        <f t="shared" si="19"/>
        <v>0</v>
      </c>
      <c r="L66" s="210">
        <f t="shared" si="20"/>
        <v>0</v>
      </c>
    </row>
    <row r="67" spans="1:12">
      <c r="A67" s="442"/>
      <c r="B67" s="77" t="s">
        <v>468</v>
      </c>
      <c r="C67" s="77"/>
      <c r="D67" s="77"/>
      <c r="L67" s="210"/>
    </row>
    <row r="68" spans="1:12">
      <c r="A68" s="442" t="s">
        <v>632</v>
      </c>
      <c r="B68" s="79">
        <v>507296034.93000001</v>
      </c>
      <c r="C68" s="77">
        <v>0</v>
      </c>
      <c r="D68" s="79">
        <v>507296034.93000001</v>
      </c>
      <c r="F68" s="87">
        <f>NFS!J231</f>
        <v>507296034.93000001</v>
      </c>
      <c r="G68" s="87">
        <f t="shared" si="5"/>
        <v>0</v>
      </c>
      <c r="H68" s="87">
        <f t="shared" si="6"/>
        <v>507296034.93000001</v>
      </c>
      <c r="I68" s="87">
        <f>NFS!D231</f>
        <v>507296034.93000001</v>
      </c>
      <c r="J68" s="87">
        <f t="shared" si="2"/>
        <v>0</v>
      </c>
      <c r="K68" s="87">
        <f t="shared" si="19"/>
        <v>0</v>
      </c>
      <c r="L68" s="210">
        <f t="shared" si="20"/>
        <v>0</v>
      </c>
    </row>
    <row r="69" spans="1:12">
      <c r="A69" s="442"/>
      <c r="B69" s="77"/>
      <c r="C69" s="77"/>
      <c r="D69" s="77"/>
      <c r="L69" s="210"/>
    </row>
    <row r="70" spans="1:12">
      <c r="A70" s="442" t="s">
        <v>633</v>
      </c>
      <c r="B70" s="79">
        <v>5230139.5999999996</v>
      </c>
      <c r="C70" s="77">
        <v>0</v>
      </c>
      <c r="D70" s="79">
        <v>5230139.5999999996</v>
      </c>
      <c r="F70" s="87">
        <f>NFS!J233</f>
        <v>5230139.5999999996</v>
      </c>
      <c r="G70" s="87">
        <f t="shared" si="5"/>
        <v>0</v>
      </c>
      <c r="H70" s="87">
        <f t="shared" si="6"/>
        <v>5230139.5999999996</v>
      </c>
      <c r="I70" s="87">
        <f>NFS!D233</f>
        <v>5230139.5999999996</v>
      </c>
      <c r="J70" s="87">
        <f t="shared" ref="J70:J125" si="21">+H70-I70</f>
        <v>0</v>
      </c>
      <c r="K70" s="87">
        <f t="shared" si="19"/>
        <v>0</v>
      </c>
      <c r="L70" s="210">
        <f t="shared" si="20"/>
        <v>0</v>
      </c>
    </row>
    <row r="71" spans="1:12">
      <c r="A71" s="442"/>
      <c r="B71" s="79"/>
      <c r="C71" s="77"/>
      <c r="D71" s="79"/>
      <c r="L71" s="210"/>
    </row>
    <row r="72" spans="1:12">
      <c r="A72" s="100" t="s">
        <v>304</v>
      </c>
      <c r="B72" s="79">
        <v>1221137927.04</v>
      </c>
      <c r="C72" s="77">
        <v>0</v>
      </c>
      <c r="D72" s="79">
        <v>1221137927.04</v>
      </c>
      <c r="F72" s="87">
        <f>NFS!J235</f>
        <v>1221137927.04</v>
      </c>
      <c r="G72" s="87">
        <f t="shared" ref="G72:G125" si="22">+C72</f>
        <v>0</v>
      </c>
      <c r="H72" s="87">
        <f t="shared" ref="H72:H125" si="23">+F72+G72</f>
        <v>1221137927.04</v>
      </c>
      <c r="I72" s="87">
        <f>NFS!D235</f>
        <v>1221137927.04</v>
      </c>
      <c r="J72" s="87">
        <f t="shared" si="21"/>
        <v>0</v>
      </c>
      <c r="K72" s="87">
        <f t="shared" si="19"/>
        <v>0</v>
      </c>
      <c r="L72" s="210">
        <f t="shared" si="20"/>
        <v>0</v>
      </c>
    </row>
    <row r="73" spans="1:12">
      <c r="A73" s="442" t="s">
        <v>634</v>
      </c>
      <c r="B73" s="79">
        <v>37447959.18</v>
      </c>
      <c r="C73" s="77">
        <v>0</v>
      </c>
      <c r="D73" s="79">
        <v>37447959.18</v>
      </c>
      <c r="F73" s="87">
        <f>NFS!J236</f>
        <v>37447959.18</v>
      </c>
      <c r="G73" s="87">
        <f t="shared" si="22"/>
        <v>0</v>
      </c>
      <c r="H73" s="87">
        <f t="shared" si="23"/>
        <v>37447959.18</v>
      </c>
      <c r="I73" s="87">
        <f>NFS!D236</f>
        <v>37447959.18</v>
      </c>
      <c r="J73" s="87">
        <f t="shared" si="21"/>
        <v>0</v>
      </c>
      <c r="K73" s="87">
        <f t="shared" si="19"/>
        <v>0</v>
      </c>
      <c r="L73" s="210">
        <f t="shared" si="20"/>
        <v>0</v>
      </c>
    </row>
    <row r="74" spans="1:12">
      <c r="A74" s="442"/>
      <c r="B74" s="79"/>
      <c r="C74" s="77"/>
      <c r="D74" s="79"/>
      <c r="L74" s="210"/>
    </row>
    <row r="75" spans="1:12">
      <c r="A75" s="442" t="s">
        <v>635</v>
      </c>
      <c r="B75" s="79">
        <v>379872292.72000003</v>
      </c>
      <c r="C75" s="77">
        <v>0</v>
      </c>
      <c r="D75" s="79">
        <v>379872292.72000003</v>
      </c>
      <c r="F75" s="87">
        <f>NFS!J238</f>
        <v>379872292.72000003</v>
      </c>
      <c r="G75" s="87">
        <f t="shared" si="22"/>
        <v>0</v>
      </c>
      <c r="H75" s="87">
        <f t="shared" si="23"/>
        <v>379872292.72000003</v>
      </c>
      <c r="I75" s="87">
        <f>NFS!D238</f>
        <v>379872292.72000003</v>
      </c>
      <c r="J75" s="87">
        <f t="shared" si="21"/>
        <v>0</v>
      </c>
      <c r="K75" s="87">
        <f t="shared" si="19"/>
        <v>0</v>
      </c>
      <c r="L75" s="210">
        <f t="shared" si="20"/>
        <v>0</v>
      </c>
    </row>
    <row r="76" spans="1:12">
      <c r="A76" s="442"/>
      <c r="B76" s="79"/>
      <c r="C76" s="77"/>
      <c r="D76" s="79"/>
      <c r="L76" s="210"/>
    </row>
    <row r="77" spans="1:12">
      <c r="A77" s="100" t="s">
        <v>308</v>
      </c>
      <c r="B77" s="79">
        <v>398031954.23000002</v>
      </c>
      <c r="C77" s="77">
        <v>0</v>
      </c>
      <c r="D77" s="79">
        <v>398031954.23000002</v>
      </c>
      <c r="F77" s="87">
        <f>NFS!J240</f>
        <v>398031954.23000002</v>
      </c>
      <c r="G77" s="87">
        <f t="shared" si="22"/>
        <v>0</v>
      </c>
      <c r="H77" s="87">
        <f t="shared" si="23"/>
        <v>398031954.23000002</v>
      </c>
      <c r="I77" s="87">
        <f>NFS!D240</f>
        <v>398031954.23000002</v>
      </c>
      <c r="J77" s="87">
        <f t="shared" si="21"/>
        <v>0</v>
      </c>
      <c r="K77" s="87">
        <f t="shared" si="19"/>
        <v>0</v>
      </c>
      <c r="L77" s="210">
        <f t="shared" si="20"/>
        <v>0</v>
      </c>
    </row>
    <row r="78" spans="1:12">
      <c r="A78" s="100" t="s">
        <v>309</v>
      </c>
      <c r="B78" s="79">
        <v>15811.96</v>
      </c>
      <c r="C78" s="77">
        <v>0</v>
      </c>
      <c r="D78" s="79">
        <v>15811.96</v>
      </c>
      <c r="F78" s="87">
        <f>NFS!J241</f>
        <v>15811.96</v>
      </c>
      <c r="G78" s="87">
        <f t="shared" si="22"/>
        <v>0</v>
      </c>
      <c r="H78" s="87">
        <f t="shared" si="23"/>
        <v>15811.96</v>
      </c>
      <c r="I78" s="87">
        <f>NFS!D241</f>
        <v>15811.96</v>
      </c>
      <c r="J78" s="87">
        <f t="shared" si="21"/>
        <v>0</v>
      </c>
      <c r="K78" s="87">
        <f t="shared" si="19"/>
        <v>0</v>
      </c>
      <c r="L78" s="210">
        <f t="shared" si="20"/>
        <v>0</v>
      </c>
    </row>
    <row r="79" spans="1:12">
      <c r="A79" s="100" t="s">
        <v>311</v>
      </c>
      <c r="B79" s="79">
        <v>13764123.66</v>
      </c>
      <c r="C79" s="77">
        <v>0</v>
      </c>
      <c r="D79" s="79">
        <v>13764123.66</v>
      </c>
      <c r="F79" s="87">
        <f>NFS!J243</f>
        <v>13764123.66</v>
      </c>
      <c r="G79" s="87">
        <f t="shared" si="22"/>
        <v>0</v>
      </c>
      <c r="H79" s="87">
        <f t="shared" si="23"/>
        <v>13764123.66</v>
      </c>
      <c r="I79" s="87">
        <f>NFS!D243</f>
        <v>13764123.66</v>
      </c>
      <c r="J79" s="87">
        <f t="shared" si="21"/>
        <v>0</v>
      </c>
      <c r="K79" s="87">
        <f t="shared" si="19"/>
        <v>0</v>
      </c>
      <c r="L79" s="210">
        <f t="shared" si="20"/>
        <v>0</v>
      </c>
    </row>
    <row r="80" spans="1:12">
      <c r="A80" s="100" t="s">
        <v>312</v>
      </c>
      <c r="B80" s="79">
        <v>1050326.33</v>
      </c>
      <c r="C80" s="77">
        <v>0</v>
      </c>
      <c r="D80" s="79">
        <v>1050326.33</v>
      </c>
      <c r="F80" s="87">
        <f>NFS!J244</f>
        <v>1050326.33</v>
      </c>
      <c r="G80" s="87">
        <f t="shared" si="22"/>
        <v>0</v>
      </c>
      <c r="H80" s="87">
        <f t="shared" si="23"/>
        <v>1050326.33</v>
      </c>
      <c r="I80" s="87">
        <f>NFS!D244</f>
        <v>1050326.33</v>
      </c>
      <c r="J80" s="87">
        <f t="shared" si="21"/>
        <v>0</v>
      </c>
      <c r="K80" s="87">
        <f t="shared" si="19"/>
        <v>0</v>
      </c>
      <c r="L80" s="210">
        <f t="shared" si="20"/>
        <v>0</v>
      </c>
    </row>
    <row r="81" spans="1:12" ht="27.6">
      <c r="A81" s="100" t="s">
        <v>636</v>
      </c>
      <c r="B81" s="79">
        <v>2233869940.5599999</v>
      </c>
      <c r="C81" s="77">
        <v>0</v>
      </c>
      <c r="D81" s="79">
        <v>2233869940.5599999</v>
      </c>
      <c r="F81" s="87">
        <f>NFS!J246</f>
        <v>2233869940.5599999</v>
      </c>
      <c r="G81" s="87">
        <f t="shared" si="22"/>
        <v>0</v>
      </c>
      <c r="H81" s="87">
        <f t="shared" si="23"/>
        <v>2233869940.5599999</v>
      </c>
      <c r="I81" s="87">
        <f>NFS!D246</f>
        <v>2233869940.5599999</v>
      </c>
      <c r="J81" s="87">
        <f t="shared" si="21"/>
        <v>0</v>
      </c>
      <c r="K81" s="87">
        <f t="shared" si="19"/>
        <v>0</v>
      </c>
      <c r="L81" s="210">
        <f t="shared" si="20"/>
        <v>0</v>
      </c>
    </row>
    <row r="82" spans="1:12" ht="27.6">
      <c r="A82" s="100" t="s">
        <v>637</v>
      </c>
      <c r="B82" s="79">
        <v>3985965127.21</v>
      </c>
      <c r="C82" s="77">
        <v>0</v>
      </c>
      <c r="D82" s="79">
        <v>3985965127.21</v>
      </c>
      <c r="F82" s="87">
        <f>NFS!J247</f>
        <v>3985965127.21</v>
      </c>
      <c r="G82" s="87">
        <f t="shared" si="22"/>
        <v>0</v>
      </c>
      <c r="H82" s="87">
        <f t="shared" si="23"/>
        <v>3985965127.21</v>
      </c>
      <c r="I82" s="87">
        <f>NFS!D247</f>
        <v>3985965127.21</v>
      </c>
      <c r="J82" s="87">
        <f t="shared" si="21"/>
        <v>0</v>
      </c>
      <c r="K82" s="87">
        <f t="shared" si="19"/>
        <v>0</v>
      </c>
      <c r="L82" s="210">
        <f t="shared" si="20"/>
        <v>0</v>
      </c>
    </row>
    <row r="83" spans="1:12">
      <c r="A83" s="100" t="s">
        <v>317</v>
      </c>
      <c r="B83" s="79">
        <v>17950000</v>
      </c>
      <c r="C83" s="77">
        <v>0</v>
      </c>
      <c r="D83" s="79">
        <v>17950000</v>
      </c>
      <c r="F83" s="87">
        <f>NFS!J249</f>
        <v>17950000</v>
      </c>
      <c r="G83" s="87">
        <f t="shared" si="22"/>
        <v>0</v>
      </c>
      <c r="H83" s="87">
        <f t="shared" si="23"/>
        <v>17950000</v>
      </c>
      <c r="I83" s="87">
        <f>NFS!D249</f>
        <v>17950000</v>
      </c>
      <c r="J83" s="87">
        <f t="shared" si="21"/>
        <v>0</v>
      </c>
      <c r="K83" s="87">
        <f t="shared" si="19"/>
        <v>0</v>
      </c>
      <c r="L83" s="210">
        <f t="shared" si="20"/>
        <v>0</v>
      </c>
    </row>
    <row r="84" spans="1:12" ht="15" thickBot="1">
      <c r="A84" s="100" t="s">
        <v>638</v>
      </c>
      <c r="B84" s="88">
        <v>113584963.18000001</v>
      </c>
      <c r="C84" s="88">
        <v>0</v>
      </c>
      <c r="D84" s="88">
        <v>113584963.18000001</v>
      </c>
      <c r="F84" s="87">
        <f>NFS!J250</f>
        <v>113584963.18000001</v>
      </c>
      <c r="G84" s="87">
        <f t="shared" si="22"/>
        <v>0</v>
      </c>
      <c r="H84" s="87">
        <f t="shared" si="23"/>
        <v>113584963.18000001</v>
      </c>
      <c r="I84" s="87">
        <f>NFS!D250</f>
        <v>113584963.18000001</v>
      </c>
      <c r="J84" s="87">
        <f t="shared" si="21"/>
        <v>0</v>
      </c>
      <c r="K84" s="87">
        <f t="shared" si="19"/>
        <v>0</v>
      </c>
      <c r="L84" s="210">
        <f t="shared" si="20"/>
        <v>0</v>
      </c>
    </row>
    <row r="85" spans="1:12" ht="28.2" thickBot="1">
      <c r="A85" s="204" t="s">
        <v>639</v>
      </c>
      <c r="B85" s="205">
        <v>33947131386.279999</v>
      </c>
      <c r="C85" s="198">
        <v>0</v>
      </c>
      <c r="D85" s="205">
        <v>33947131386.279999</v>
      </c>
      <c r="L85" s="210"/>
    </row>
    <row r="86" spans="1:12" ht="15" thickBot="1">
      <c r="A86" s="184" t="s">
        <v>341</v>
      </c>
      <c r="B86" s="188">
        <v>131574000</v>
      </c>
      <c r="C86" s="189">
        <v>0</v>
      </c>
      <c r="D86" s="188">
        <v>131574000</v>
      </c>
      <c r="F86" s="87">
        <f>NFS!J259</f>
        <v>131574000</v>
      </c>
      <c r="G86" s="87">
        <f t="shared" si="22"/>
        <v>0</v>
      </c>
      <c r="H86" s="87">
        <f t="shared" si="23"/>
        <v>131574000</v>
      </c>
      <c r="I86" s="87">
        <f>+NFS!D259</f>
        <v>131574000</v>
      </c>
      <c r="J86" s="87">
        <f t="shared" si="21"/>
        <v>0</v>
      </c>
      <c r="K86" s="87">
        <f t="shared" si="19"/>
        <v>0</v>
      </c>
      <c r="L86" s="210">
        <f t="shared" si="20"/>
        <v>0</v>
      </c>
    </row>
    <row r="87" spans="1:12" ht="15" thickBot="1">
      <c r="A87" s="185" t="s">
        <v>640</v>
      </c>
      <c r="B87" s="190">
        <v>131574000</v>
      </c>
      <c r="C87" s="189">
        <v>0</v>
      </c>
      <c r="D87" s="190">
        <v>131574000</v>
      </c>
      <c r="L87" s="210"/>
    </row>
    <row r="88" spans="1:12" ht="15" thickBot="1">
      <c r="A88" s="185" t="s">
        <v>13</v>
      </c>
      <c r="B88" s="190">
        <v>34327617428.130001</v>
      </c>
      <c r="C88" s="189">
        <v>0</v>
      </c>
      <c r="D88" s="190">
        <v>34327617428.130001</v>
      </c>
      <c r="L88" s="210"/>
    </row>
    <row r="89" spans="1:12" ht="15" thickBot="1">
      <c r="A89" s="185" t="s">
        <v>14</v>
      </c>
      <c r="B89" s="219">
        <v>62542872024.440002</v>
      </c>
      <c r="C89" s="218">
        <v>3863038403.5300002</v>
      </c>
      <c r="D89" s="190">
        <v>66405910427.970001</v>
      </c>
      <c r="L89" s="210"/>
    </row>
    <row r="90" spans="1:12">
      <c r="A90" s="76"/>
      <c r="B90" s="444"/>
      <c r="C90" s="440"/>
      <c r="D90" s="440"/>
      <c r="L90" s="210"/>
    </row>
    <row r="91" spans="1:12">
      <c r="A91" s="76" t="s">
        <v>15</v>
      </c>
      <c r="B91" s="445"/>
      <c r="C91" s="441"/>
      <c r="D91" s="441"/>
      <c r="L91" s="210"/>
    </row>
    <row r="92" spans="1:12">
      <c r="A92" s="100" t="s">
        <v>345</v>
      </c>
      <c r="B92" s="79">
        <v>6051729793.3500004</v>
      </c>
      <c r="C92" s="79">
        <v>1599966649.99</v>
      </c>
      <c r="D92" s="79">
        <v>7651696443.3400002</v>
      </c>
      <c r="F92" s="87">
        <f>NFS!J267</f>
        <v>6051729793.3500004</v>
      </c>
      <c r="G92" s="87">
        <f t="shared" si="22"/>
        <v>1599966649.99</v>
      </c>
      <c r="H92" s="87">
        <f t="shared" si="23"/>
        <v>7651696443.3400002</v>
      </c>
      <c r="I92" s="87">
        <f>NFS!D267</f>
        <v>7651696443.3400002</v>
      </c>
      <c r="J92" s="87">
        <f t="shared" si="21"/>
        <v>0</v>
      </c>
      <c r="K92" s="87">
        <f t="shared" si="19"/>
        <v>0</v>
      </c>
      <c r="L92" s="210">
        <f t="shared" si="20"/>
        <v>0</v>
      </c>
    </row>
    <row r="93" spans="1:12">
      <c r="A93" s="100" t="s">
        <v>346</v>
      </c>
      <c r="B93" s="79">
        <v>210244502.62</v>
      </c>
      <c r="C93" s="79">
        <v>10822323.98</v>
      </c>
      <c r="D93" s="79">
        <v>221066826.59999999</v>
      </c>
      <c r="F93" s="87">
        <f>NFS!J268</f>
        <v>210244502.62</v>
      </c>
      <c r="G93" s="87">
        <f t="shared" si="22"/>
        <v>10822323.98</v>
      </c>
      <c r="H93" s="87">
        <f t="shared" si="23"/>
        <v>221066826.59999999</v>
      </c>
      <c r="I93" s="87">
        <f>NFS!D268</f>
        <v>221066826.59999999</v>
      </c>
      <c r="J93" s="87">
        <f t="shared" si="21"/>
        <v>0</v>
      </c>
      <c r="K93" s="87">
        <f t="shared" si="19"/>
        <v>0</v>
      </c>
      <c r="L93" s="210">
        <f t="shared" si="20"/>
        <v>0</v>
      </c>
    </row>
    <row r="94" spans="1:12">
      <c r="A94" s="100" t="s">
        <v>348</v>
      </c>
      <c r="B94" s="79">
        <v>5775.68</v>
      </c>
      <c r="C94" s="77"/>
      <c r="D94" s="79">
        <v>5775.68</v>
      </c>
      <c r="F94" s="87">
        <f>NFS!J270</f>
        <v>5775.68</v>
      </c>
      <c r="G94" s="87">
        <f t="shared" si="22"/>
        <v>0</v>
      </c>
      <c r="H94" s="87">
        <f t="shared" si="23"/>
        <v>5775.68</v>
      </c>
      <c r="I94" s="87">
        <f>NFS!D270</f>
        <v>5775.68</v>
      </c>
      <c r="J94" s="87">
        <f t="shared" si="21"/>
        <v>0</v>
      </c>
      <c r="K94" s="87">
        <f t="shared" si="19"/>
        <v>0</v>
      </c>
      <c r="L94" s="210">
        <f t="shared" si="20"/>
        <v>0</v>
      </c>
    </row>
    <row r="95" spans="1:12" ht="15" thickBot="1">
      <c r="A95" s="100" t="s">
        <v>641</v>
      </c>
      <c r="B95" s="79">
        <v>40980941.229999997</v>
      </c>
      <c r="C95" s="77">
        <v>0</v>
      </c>
      <c r="D95" s="79">
        <v>40980941.229999997</v>
      </c>
      <c r="F95" s="87">
        <f>NFS!J272</f>
        <v>40980941.229999997</v>
      </c>
      <c r="G95" s="87">
        <f t="shared" si="22"/>
        <v>0</v>
      </c>
      <c r="H95" s="87">
        <f t="shared" si="23"/>
        <v>40980941.229999997</v>
      </c>
      <c r="I95" s="87">
        <f>+NFS!D272</f>
        <v>40980941.229999997</v>
      </c>
      <c r="J95" s="87">
        <f t="shared" si="21"/>
        <v>0</v>
      </c>
      <c r="K95" s="87">
        <f t="shared" si="19"/>
        <v>0</v>
      </c>
      <c r="L95" s="210">
        <f t="shared" si="20"/>
        <v>0</v>
      </c>
    </row>
    <row r="96" spans="1:12" ht="15" thickBot="1">
      <c r="A96" s="204" t="s">
        <v>642</v>
      </c>
      <c r="B96" s="205">
        <v>6302961012.8800001</v>
      </c>
      <c r="C96" s="205">
        <v>1610788973.97</v>
      </c>
      <c r="D96" s="205">
        <v>7913749986.8500004</v>
      </c>
      <c r="L96" s="210"/>
    </row>
    <row r="97" spans="1:12">
      <c r="A97" s="100" t="s">
        <v>370</v>
      </c>
      <c r="B97" s="79">
        <v>551440685.42999995</v>
      </c>
      <c r="C97" s="79">
        <v>15157466.550000001</v>
      </c>
      <c r="D97" s="79">
        <v>566598151.98000002</v>
      </c>
      <c r="F97" s="87">
        <f>NFS!J314</f>
        <v>551440685.42999995</v>
      </c>
      <c r="G97" s="87">
        <f t="shared" si="22"/>
        <v>15157466.550000001</v>
      </c>
      <c r="H97" s="87">
        <f t="shared" si="23"/>
        <v>566598151.9799999</v>
      </c>
      <c r="I97" s="87">
        <f>NFS!D314</f>
        <v>566598151.98000002</v>
      </c>
      <c r="J97" s="87">
        <f t="shared" si="21"/>
        <v>0</v>
      </c>
      <c r="K97" s="87">
        <f t="shared" si="19"/>
        <v>0</v>
      </c>
      <c r="L97" s="210">
        <f t="shared" si="20"/>
        <v>0</v>
      </c>
    </row>
    <row r="98" spans="1:12">
      <c r="A98" s="100" t="s">
        <v>371</v>
      </c>
      <c r="B98" s="79">
        <v>62019413.780000001</v>
      </c>
      <c r="C98" s="79">
        <v>45661771.509999998</v>
      </c>
      <c r="D98" s="79">
        <v>107681185.29000001</v>
      </c>
      <c r="F98" s="87">
        <f>NFS!J315</f>
        <v>62019413.780000001</v>
      </c>
      <c r="G98" s="87">
        <f t="shared" si="22"/>
        <v>45661771.509999998</v>
      </c>
      <c r="H98" s="87">
        <f t="shared" si="23"/>
        <v>107681185.28999999</v>
      </c>
      <c r="I98" s="87">
        <f>NFS!D315</f>
        <v>107681185.29000001</v>
      </c>
      <c r="J98" s="87">
        <f t="shared" si="21"/>
        <v>0</v>
      </c>
      <c r="K98" s="87">
        <f t="shared" si="19"/>
        <v>0</v>
      </c>
      <c r="L98" s="210">
        <f t="shared" si="20"/>
        <v>0</v>
      </c>
    </row>
    <row r="99" spans="1:12">
      <c r="A99" s="100" t="s">
        <v>372</v>
      </c>
      <c r="B99" s="79">
        <v>25417463.84</v>
      </c>
      <c r="C99" s="77">
        <v>0</v>
      </c>
      <c r="D99" s="79">
        <v>25417463.84</v>
      </c>
      <c r="F99" s="87">
        <f>NFS!J316</f>
        <v>25417463.84</v>
      </c>
      <c r="G99" s="87">
        <f t="shared" si="22"/>
        <v>0</v>
      </c>
      <c r="H99" s="87">
        <f t="shared" si="23"/>
        <v>25417463.84</v>
      </c>
      <c r="I99" s="87">
        <f>NFS!D316</f>
        <v>25417463.84</v>
      </c>
      <c r="J99" s="87">
        <f t="shared" si="21"/>
        <v>0</v>
      </c>
      <c r="K99" s="87">
        <f t="shared" si="19"/>
        <v>0</v>
      </c>
      <c r="L99" s="210">
        <f t="shared" si="20"/>
        <v>0</v>
      </c>
    </row>
    <row r="100" spans="1:12">
      <c r="A100" s="100" t="s">
        <v>373</v>
      </c>
      <c r="B100" s="79">
        <v>31706334.690000001</v>
      </c>
      <c r="C100" s="77">
        <v>0</v>
      </c>
      <c r="D100" s="79">
        <v>31706334.690000001</v>
      </c>
      <c r="F100" s="87">
        <f>NFS!J317</f>
        <v>31706334.690000001</v>
      </c>
      <c r="G100" s="87">
        <f t="shared" si="22"/>
        <v>0</v>
      </c>
      <c r="H100" s="87">
        <f t="shared" si="23"/>
        <v>31706334.690000001</v>
      </c>
      <c r="I100" s="87">
        <f>NFS!D317</f>
        <v>31706334.690000001</v>
      </c>
      <c r="J100" s="87">
        <f t="shared" si="21"/>
        <v>0</v>
      </c>
      <c r="K100" s="87">
        <f t="shared" si="19"/>
        <v>0</v>
      </c>
      <c r="L100" s="210">
        <f t="shared" si="20"/>
        <v>0</v>
      </c>
    </row>
    <row r="101" spans="1:12">
      <c r="A101" s="100" t="s">
        <v>374</v>
      </c>
      <c r="B101" s="79">
        <v>156583161.12</v>
      </c>
      <c r="C101" s="77">
        <v>0</v>
      </c>
      <c r="D101" s="79">
        <v>156583161.12</v>
      </c>
      <c r="F101" s="87">
        <f>NFS!J318</f>
        <v>156583161.12</v>
      </c>
      <c r="G101" s="87">
        <f t="shared" si="22"/>
        <v>0</v>
      </c>
      <c r="H101" s="87">
        <f t="shared" si="23"/>
        <v>156583161.12</v>
      </c>
      <c r="I101" s="87">
        <f>NFS!D318</f>
        <v>156583161.12</v>
      </c>
      <c r="J101" s="87">
        <f t="shared" si="21"/>
        <v>0</v>
      </c>
      <c r="K101" s="87">
        <f t="shared" si="19"/>
        <v>0</v>
      </c>
      <c r="L101" s="210">
        <f t="shared" si="20"/>
        <v>0</v>
      </c>
    </row>
    <row r="102" spans="1:12">
      <c r="A102" s="100" t="s">
        <v>375</v>
      </c>
      <c r="B102" s="79">
        <v>288044279.31</v>
      </c>
      <c r="C102" s="77">
        <v>0</v>
      </c>
      <c r="D102" s="79">
        <v>288044279.31</v>
      </c>
      <c r="F102" s="87">
        <f>NFS!J319</f>
        <v>288044279.31</v>
      </c>
      <c r="G102" s="87">
        <f t="shared" si="22"/>
        <v>0</v>
      </c>
      <c r="H102" s="87">
        <f t="shared" si="23"/>
        <v>288044279.31</v>
      </c>
      <c r="I102" s="87">
        <f>NFS!D319</f>
        <v>288044279.31</v>
      </c>
      <c r="J102" s="87">
        <f t="shared" si="21"/>
        <v>0</v>
      </c>
      <c r="K102" s="87">
        <f t="shared" si="19"/>
        <v>0</v>
      </c>
      <c r="L102" s="210">
        <f t="shared" si="20"/>
        <v>0</v>
      </c>
    </row>
    <row r="103" spans="1:12" ht="15" thickBot="1">
      <c r="A103" s="100" t="s">
        <v>643</v>
      </c>
      <c r="B103" s="79">
        <v>629914363.87</v>
      </c>
      <c r="C103" s="77">
        <v>0</v>
      </c>
      <c r="D103" s="79">
        <v>629914363.87</v>
      </c>
      <c r="F103" s="87">
        <f>NFS!J320</f>
        <v>629914363.87</v>
      </c>
      <c r="G103" s="87">
        <f t="shared" si="22"/>
        <v>0</v>
      </c>
      <c r="H103" s="87">
        <f t="shared" si="23"/>
        <v>629914363.87</v>
      </c>
      <c r="I103" s="87">
        <f>NFS!D320</f>
        <v>629914363.87</v>
      </c>
      <c r="J103" s="87">
        <f t="shared" si="21"/>
        <v>0</v>
      </c>
      <c r="K103" s="87">
        <f t="shared" si="19"/>
        <v>0</v>
      </c>
      <c r="L103" s="210">
        <f t="shared" si="20"/>
        <v>0</v>
      </c>
    </row>
    <row r="104" spans="1:12" ht="15" thickBot="1">
      <c r="A104" s="204" t="s">
        <v>644</v>
      </c>
      <c r="B104" s="205">
        <v>1745125702.04</v>
      </c>
      <c r="C104" s="205">
        <v>60819238.060000002</v>
      </c>
      <c r="D104" s="205">
        <v>1805944940.0999999</v>
      </c>
      <c r="L104" s="210"/>
    </row>
    <row r="105" spans="1:12" ht="15" thickBot="1">
      <c r="A105" s="185" t="s">
        <v>19</v>
      </c>
      <c r="B105" s="190">
        <v>8048086714.9200001</v>
      </c>
      <c r="C105" s="190">
        <v>1671608212.03</v>
      </c>
      <c r="D105" s="190">
        <v>9719694926.9500008</v>
      </c>
      <c r="L105" s="210"/>
    </row>
    <row r="106" spans="1:12">
      <c r="A106" s="100" t="s">
        <v>21</v>
      </c>
      <c r="B106" s="79">
        <v>431496420.91000003</v>
      </c>
      <c r="C106" s="79">
        <v>291464438.37</v>
      </c>
      <c r="D106" s="79">
        <v>722960859.27999997</v>
      </c>
      <c r="F106" s="87">
        <f>NFS!J329</f>
        <v>431496420.91000003</v>
      </c>
      <c r="G106" s="87">
        <f t="shared" si="22"/>
        <v>291464438.37</v>
      </c>
      <c r="H106" s="87">
        <f t="shared" si="23"/>
        <v>722960859.27999997</v>
      </c>
      <c r="I106" s="87">
        <f>NFS!D329</f>
        <v>722960859.27999997</v>
      </c>
      <c r="J106" s="87">
        <f t="shared" si="21"/>
        <v>0</v>
      </c>
      <c r="K106" s="87">
        <f t="shared" si="19"/>
        <v>0</v>
      </c>
      <c r="L106" s="210">
        <f t="shared" si="20"/>
        <v>0</v>
      </c>
    </row>
    <row r="107" spans="1:12" ht="27.6">
      <c r="A107" s="100" t="s">
        <v>645</v>
      </c>
      <c r="B107" s="79">
        <v>235255285.61000001</v>
      </c>
      <c r="C107" s="77">
        <v>0</v>
      </c>
      <c r="D107" s="79">
        <v>235255285.61000001</v>
      </c>
      <c r="F107" s="87">
        <f>NFS!J330</f>
        <v>235255285.61000001</v>
      </c>
      <c r="G107" s="87">
        <f t="shared" si="22"/>
        <v>0</v>
      </c>
      <c r="H107" s="87">
        <f t="shared" si="23"/>
        <v>235255285.61000001</v>
      </c>
      <c r="I107" s="87">
        <f>NFS!D330</f>
        <v>235255285.61000001</v>
      </c>
      <c r="J107" s="87">
        <f t="shared" si="21"/>
        <v>0</v>
      </c>
      <c r="K107" s="87">
        <f t="shared" si="19"/>
        <v>0</v>
      </c>
      <c r="L107" s="210">
        <f t="shared" si="20"/>
        <v>0</v>
      </c>
    </row>
    <row r="108" spans="1:12">
      <c r="A108" s="100" t="s">
        <v>380</v>
      </c>
      <c r="B108" s="79">
        <v>81153960.620000005</v>
      </c>
      <c r="C108" s="77">
        <v>0</v>
      </c>
      <c r="D108" s="79">
        <v>81153960.620000005</v>
      </c>
      <c r="F108" s="87">
        <f>NFS!J332</f>
        <v>81153960.620000005</v>
      </c>
      <c r="G108" s="87">
        <f t="shared" si="22"/>
        <v>0</v>
      </c>
      <c r="H108" s="87">
        <f t="shared" si="23"/>
        <v>81153960.620000005</v>
      </c>
      <c r="I108" s="87">
        <f>NFS!D332</f>
        <v>81153960.620000005</v>
      </c>
      <c r="J108" s="87">
        <f t="shared" si="21"/>
        <v>0</v>
      </c>
      <c r="K108" s="87">
        <f t="shared" si="19"/>
        <v>0</v>
      </c>
      <c r="L108" s="210">
        <f t="shared" si="20"/>
        <v>0</v>
      </c>
    </row>
    <row r="109" spans="1:12" ht="15" thickBot="1">
      <c r="A109" s="100" t="s">
        <v>646</v>
      </c>
      <c r="B109" s="77">
        <v>126684624.26000001</v>
      </c>
      <c r="C109" s="77">
        <v>3012788.62</v>
      </c>
      <c r="D109" s="77">
        <v>129697412.88</v>
      </c>
      <c r="F109" s="87">
        <f>NFS!J333</f>
        <v>126684624.26000001</v>
      </c>
      <c r="G109" s="87">
        <f t="shared" si="22"/>
        <v>3012788.62</v>
      </c>
      <c r="H109" s="87">
        <f t="shared" si="23"/>
        <v>129697412.88000001</v>
      </c>
      <c r="I109" s="87">
        <f>NFS!D333</f>
        <v>129697412.88</v>
      </c>
      <c r="J109" s="87">
        <f t="shared" si="21"/>
        <v>0</v>
      </c>
      <c r="K109" s="87">
        <f t="shared" ref="K109:K125" si="24">+B109-F109</f>
        <v>0</v>
      </c>
      <c r="L109" s="210">
        <f t="shared" ref="L109:L125" si="25">+D109-I109</f>
        <v>0</v>
      </c>
    </row>
    <row r="110" spans="1:12" ht="15" thickBot="1">
      <c r="A110" s="204" t="s">
        <v>647</v>
      </c>
      <c r="B110" s="205">
        <v>874590291.39999998</v>
      </c>
      <c r="C110" s="205">
        <v>294477226.99000001</v>
      </c>
      <c r="D110" s="205">
        <v>1169067518.3900001</v>
      </c>
      <c r="L110" s="210"/>
    </row>
    <row r="111" spans="1:12">
      <c r="A111" s="100" t="s">
        <v>396</v>
      </c>
      <c r="B111" s="79">
        <v>1203765940.4200001</v>
      </c>
      <c r="C111" s="79">
        <v>976527961.22000003</v>
      </c>
      <c r="D111" s="79">
        <v>2180293901.6399999</v>
      </c>
      <c r="F111" s="87">
        <f>NFS!J359</f>
        <v>1203765940.4200001</v>
      </c>
      <c r="G111" s="87">
        <f t="shared" si="22"/>
        <v>976527961.22000003</v>
      </c>
      <c r="H111" s="87">
        <f t="shared" si="23"/>
        <v>2180293901.6400003</v>
      </c>
      <c r="I111" s="87">
        <f>NFS!D359</f>
        <v>2180293901.6399999</v>
      </c>
      <c r="J111" s="87">
        <f t="shared" si="21"/>
        <v>0</v>
      </c>
      <c r="K111" s="87">
        <f t="shared" si="24"/>
        <v>0</v>
      </c>
      <c r="L111" s="210">
        <f t="shared" si="25"/>
        <v>0</v>
      </c>
    </row>
    <row r="112" spans="1:12">
      <c r="A112" s="100" t="s">
        <v>397</v>
      </c>
      <c r="B112" s="79">
        <v>282460878.01999998</v>
      </c>
      <c r="C112" s="79">
        <v>443453916.00999999</v>
      </c>
      <c r="D112" s="79">
        <v>725914794.02999997</v>
      </c>
      <c r="F112" s="87">
        <f>NFS!J360</f>
        <v>282460878.01999998</v>
      </c>
      <c r="G112" s="87">
        <f t="shared" si="22"/>
        <v>443453916.00999999</v>
      </c>
      <c r="H112" s="87">
        <f t="shared" si="23"/>
        <v>725914794.02999997</v>
      </c>
      <c r="I112" s="87">
        <f>NFS!D360</f>
        <v>725914794.02999997</v>
      </c>
      <c r="J112" s="87">
        <f t="shared" si="21"/>
        <v>0</v>
      </c>
      <c r="K112" s="87">
        <f t="shared" si="24"/>
        <v>0</v>
      </c>
      <c r="L112" s="210">
        <f t="shared" si="25"/>
        <v>0</v>
      </c>
    </row>
    <row r="113" spans="1:12" ht="15" thickBot="1">
      <c r="A113" s="100" t="s">
        <v>648</v>
      </c>
      <c r="B113" s="79">
        <v>5853838089.5500002</v>
      </c>
      <c r="C113" s="101">
        <v>-3603848049.5900002</v>
      </c>
      <c r="D113" s="79">
        <v>2249990039.96</v>
      </c>
      <c r="F113" s="87">
        <f>NFS!J361</f>
        <v>5853838089.5500002</v>
      </c>
      <c r="G113" s="87">
        <f t="shared" si="22"/>
        <v>-3603848049.5900002</v>
      </c>
      <c r="H113" s="87">
        <f t="shared" si="23"/>
        <v>2249990039.96</v>
      </c>
      <c r="I113" s="87">
        <f>NFS!D361</f>
        <v>2249990039.96</v>
      </c>
      <c r="J113" s="87">
        <f t="shared" si="21"/>
        <v>0</v>
      </c>
      <c r="K113" s="87">
        <f t="shared" si="24"/>
        <v>0</v>
      </c>
      <c r="L113" s="210">
        <f t="shared" si="25"/>
        <v>0</v>
      </c>
    </row>
    <row r="114" spans="1:12" ht="15" thickBot="1">
      <c r="A114" s="204" t="s">
        <v>649</v>
      </c>
      <c r="B114" s="205">
        <v>7340064907.9899998</v>
      </c>
      <c r="C114" s="205">
        <v>-2183866172.3600001</v>
      </c>
      <c r="D114" s="205">
        <v>5156198735.6300001</v>
      </c>
      <c r="L114" s="210"/>
    </row>
    <row r="115" spans="1:12" ht="28.2" thickBot="1">
      <c r="A115" s="184" t="s">
        <v>650</v>
      </c>
      <c r="B115" s="188">
        <v>3758646841.5999999</v>
      </c>
      <c r="C115" s="77">
        <v>0</v>
      </c>
      <c r="D115" s="188">
        <v>3758646841.5999999</v>
      </c>
      <c r="F115" s="87">
        <f>NFS!J280</f>
        <v>3758646841.5999999</v>
      </c>
      <c r="G115" s="87">
        <f t="shared" si="22"/>
        <v>0</v>
      </c>
      <c r="H115" s="87">
        <f t="shared" si="23"/>
        <v>3758646841.5999999</v>
      </c>
      <c r="I115" s="87">
        <f>+NFS!D280</f>
        <v>3758646841.5999999</v>
      </c>
      <c r="J115" s="87">
        <f t="shared" si="21"/>
        <v>0</v>
      </c>
      <c r="K115" s="87">
        <f t="shared" si="24"/>
        <v>0</v>
      </c>
      <c r="L115" s="210">
        <f>+D115-I115</f>
        <v>0</v>
      </c>
    </row>
    <row r="116" spans="1:12" ht="15" thickBot="1">
      <c r="A116" s="185" t="s">
        <v>651</v>
      </c>
      <c r="B116" s="190">
        <v>3758646841.5999999</v>
      </c>
      <c r="C116" s="209">
        <v>0</v>
      </c>
      <c r="D116" s="190">
        <v>3758646841.5999999</v>
      </c>
      <c r="L116" s="210"/>
    </row>
    <row r="117" spans="1:12" ht="15" thickBot="1">
      <c r="A117" s="100" t="s">
        <v>23</v>
      </c>
      <c r="B117" s="79">
        <v>2156863059.52</v>
      </c>
      <c r="C117" s="79">
        <v>152997.6</v>
      </c>
      <c r="D117" s="79">
        <v>2157016057.1199999</v>
      </c>
      <c r="F117" s="87">
        <f>NFS!J370</f>
        <v>2156863059.52</v>
      </c>
      <c r="G117" s="87">
        <f t="shared" si="22"/>
        <v>152997.6</v>
      </c>
      <c r="H117" s="87">
        <f t="shared" si="23"/>
        <v>2157016057.1199999</v>
      </c>
      <c r="I117" s="87">
        <f>NFS!D370</f>
        <v>2157016057.1199999</v>
      </c>
      <c r="J117" s="87">
        <f t="shared" si="21"/>
        <v>0</v>
      </c>
      <c r="K117" s="87">
        <f t="shared" si="24"/>
        <v>0</v>
      </c>
      <c r="L117" s="210">
        <f t="shared" si="25"/>
        <v>0</v>
      </c>
    </row>
    <row r="118" spans="1:12" ht="15" thickBot="1">
      <c r="A118" s="204" t="s">
        <v>652</v>
      </c>
      <c r="B118" s="205">
        <v>2156863059.52</v>
      </c>
      <c r="C118" s="205">
        <v>152997.6</v>
      </c>
      <c r="D118" s="205">
        <v>2157016057.1199999</v>
      </c>
      <c r="L118" s="210"/>
    </row>
    <row r="119" spans="1:12" ht="15" thickBot="1">
      <c r="A119" s="185" t="s">
        <v>24</v>
      </c>
      <c r="B119" s="190">
        <v>14130165100.51</v>
      </c>
      <c r="C119" s="190">
        <v>-1889235947.77</v>
      </c>
      <c r="D119" s="190">
        <v>12240929152.74</v>
      </c>
      <c r="L119" s="210"/>
    </row>
    <row r="120" spans="1:12" ht="15" thickBot="1">
      <c r="A120" s="185" t="s">
        <v>25</v>
      </c>
      <c r="B120" s="190">
        <v>22178251815.43</v>
      </c>
      <c r="C120" s="190">
        <v>-217627735.74000001</v>
      </c>
      <c r="D120" s="190">
        <v>21960624079.689999</v>
      </c>
      <c r="L120" s="210"/>
    </row>
    <row r="121" spans="1:12">
      <c r="A121" s="76"/>
      <c r="B121" s="444"/>
      <c r="C121" s="440"/>
      <c r="D121" s="440"/>
      <c r="G121" s="87">
        <f t="shared" si="22"/>
        <v>0</v>
      </c>
      <c r="H121" s="87">
        <f t="shared" si="23"/>
        <v>0</v>
      </c>
      <c r="J121" s="87">
        <f t="shared" si="21"/>
        <v>0</v>
      </c>
      <c r="K121" s="87">
        <f t="shared" si="24"/>
        <v>0</v>
      </c>
      <c r="L121" s="210">
        <f t="shared" si="25"/>
        <v>0</v>
      </c>
    </row>
    <row r="122" spans="1:12">
      <c r="A122" s="76" t="s">
        <v>26</v>
      </c>
      <c r="B122" s="445"/>
      <c r="C122" s="441"/>
      <c r="D122" s="441"/>
      <c r="E122" t="s">
        <v>660</v>
      </c>
      <c r="G122" s="87">
        <f t="shared" si="22"/>
        <v>0</v>
      </c>
      <c r="H122" s="87">
        <f t="shared" si="23"/>
        <v>0</v>
      </c>
      <c r="J122" s="87">
        <f t="shared" si="21"/>
        <v>0</v>
      </c>
      <c r="K122" s="87">
        <f t="shared" si="24"/>
        <v>0</v>
      </c>
      <c r="L122" s="210">
        <f t="shared" si="25"/>
        <v>0</v>
      </c>
    </row>
    <row r="123" spans="1:12">
      <c r="A123" s="100" t="s">
        <v>653</v>
      </c>
      <c r="B123" s="79">
        <v>36246902938.57</v>
      </c>
      <c r="C123" s="79">
        <v>3826446060.3200002</v>
      </c>
      <c r="D123" s="79">
        <v>40073348998.889999</v>
      </c>
      <c r="F123" s="87" t="e">
        <f>+SCNAE!#REF!</f>
        <v>#REF!</v>
      </c>
      <c r="G123" s="87">
        <f t="shared" si="22"/>
        <v>3826446060.3200002</v>
      </c>
      <c r="H123" s="87" t="e">
        <f t="shared" si="23"/>
        <v>#REF!</v>
      </c>
      <c r="I123" s="87">
        <f>+SCNAE!E8</f>
        <v>40073348998.889999</v>
      </c>
      <c r="J123" s="87" t="e">
        <f t="shared" si="21"/>
        <v>#REF!</v>
      </c>
      <c r="K123" s="87" t="e">
        <f t="shared" si="24"/>
        <v>#REF!</v>
      </c>
      <c r="L123" s="210">
        <f t="shared" si="25"/>
        <v>0</v>
      </c>
    </row>
    <row r="124" spans="1:12">
      <c r="A124" s="100" t="s">
        <v>654</v>
      </c>
      <c r="B124" s="77">
        <v>0</v>
      </c>
      <c r="C124" s="77">
        <v>0</v>
      </c>
      <c r="D124" s="77">
        <v>0</v>
      </c>
      <c r="F124" s="87" t="e">
        <f>+SCNAE!#REF!</f>
        <v>#REF!</v>
      </c>
      <c r="G124" s="87">
        <f t="shared" si="22"/>
        <v>0</v>
      </c>
      <c r="H124" s="87" t="e">
        <f t="shared" si="23"/>
        <v>#REF!</v>
      </c>
      <c r="I124" s="87">
        <f>+SCNAE!E12</f>
        <v>0</v>
      </c>
      <c r="J124" s="87" t="e">
        <f t="shared" si="21"/>
        <v>#REF!</v>
      </c>
      <c r="K124" s="87" t="e">
        <f t="shared" si="24"/>
        <v>#REF!</v>
      </c>
      <c r="L124" s="210">
        <f t="shared" si="25"/>
        <v>0</v>
      </c>
    </row>
    <row r="125" spans="1:12" ht="15" thickBot="1">
      <c r="A125" s="100" t="s">
        <v>655</v>
      </c>
      <c r="B125" s="79">
        <v>4117717270.4400001</v>
      </c>
      <c r="C125" s="79">
        <v>254220078.94999999</v>
      </c>
      <c r="D125" s="79">
        <v>4371937349.3900003</v>
      </c>
      <c r="F125" s="87" t="e">
        <f>+SCNAE!#REF!</f>
        <v>#REF!</v>
      </c>
      <c r="G125" s="87">
        <f t="shared" si="22"/>
        <v>254220078.94999999</v>
      </c>
      <c r="H125" s="87" t="e">
        <f t="shared" si="23"/>
        <v>#REF!</v>
      </c>
      <c r="I125" s="87">
        <f>+SCNAE!E14</f>
        <v>4371937349.3900003</v>
      </c>
      <c r="J125" s="87" t="e">
        <f t="shared" si="21"/>
        <v>#REF!</v>
      </c>
      <c r="K125" s="87" t="e">
        <f t="shared" si="24"/>
        <v>#REF!</v>
      </c>
      <c r="L125" s="210">
        <f t="shared" si="25"/>
        <v>0</v>
      </c>
    </row>
    <row r="126" spans="1:12" ht="15" thickBot="1">
      <c r="A126" s="204" t="s">
        <v>656</v>
      </c>
      <c r="B126" s="205">
        <v>40364620209.010002</v>
      </c>
      <c r="C126" s="205">
        <v>4080666139.27</v>
      </c>
      <c r="D126" s="205">
        <v>44445286348.279999</v>
      </c>
      <c r="L126" s="210"/>
    </row>
    <row r="127" spans="1:12" ht="28.2" thickBot="1">
      <c r="A127" s="185" t="s">
        <v>657</v>
      </c>
      <c r="B127" s="208">
        <v>62542872024.440002</v>
      </c>
      <c r="C127" s="190">
        <v>3863038403.5300002</v>
      </c>
      <c r="D127" s="190">
        <v>66405910427.970001</v>
      </c>
      <c r="L127" s="210"/>
    </row>
    <row r="130" spans="1:12" ht="15" thickBot="1"/>
    <row r="131" spans="1:12" ht="28.2" thickBot="1">
      <c r="A131" s="125" t="s">
        <v>144</v>
      </c>
      <c r="B131" s="125" t="s">
        <v>602</v>
      </c>
      <c r="C131" s="125" t="s">
        <v>603</v>
      </c>
      <c r="D131" s="125" t="s">
        <v>604</v>
      </c>
    </row>
    <row r="132" spans="1:12">
      <c r="A132" s="76"/>
      <c r="B132" s="444"/>
      <c r="C132" s="440"/>
      <c r="D132" s="440"/>
    </row>
    <row r="133" spans="1:12">
      <c r="A133" s="76" t="s">
        <v>661</v>
      </c>
      <c r="B133" s="445"/>
      <c r="C133" s="441"/>
      <c r="D133" s="441"/>
    </row>
    <row r="134" spans="1:12">
      <c r="A134" s="100" t="s">
        <v>662</v>
      </c>
      <c r="B134" s="79">
        <v>5448488.9199999999</v>
      </c>
      <c r="C134" s="77">
        <v>0</v>
      </c>
      <c r="D134" s="79">
        <v>5448488.9199999999</v>
      </c>
      <c r="F134" s="87">
        <f>+NFS!J380</f>
        <v>5448488.9199999999</v>
      </c>
      <c r="G134" s="87">
        <f t="shared" ref="G134" si="26">+C134</f>
        <v>0</v>
      </c>
      <c r="H134" s="87">
        <f t="shared" ref="H134" si="27">+F134+G134</f>
        <v>5448488.9199999999</v>
      </c>
      <c r="I134" s="87">
        <f>+NFS!D380</f>
        <v>5448488.9199999999</v>
      </c>
      <c r="J134" s="87">
        <f t="shared" ref="J134" si="28">+H134-I134</f>
        <v>0</v>
      </c>
      <c r="K134" s="87">
        <f t="shared" ref="K134" si="29">+B134-F134</f>
        <v>0</v>
      </c>
      <c r="L134" s="210">
        <f t="shared" ref="L134" si="30">+D134-I134</f>
        <v>0</v>
      </c>
    </row>
    <row r="135" spans="1:12">
      <c r="A135" s="100" t="s">
        <v>403</v>
      </c>
      <c r="B135" s="79">
        <v>91180305.200000003</v>
      </c>
      <c r="C135" s="77">
        <v>0</v>
      </c>
      <c r="D135" s="79">
        <v>91180305.200000003</v>
      </c>
      <c r="F135" s="87">
        <f>+NFS!J381</f>
        <v>91180305.200000003</v>
      </c>
      <c r="G135" s="87">
        <f t="shared" ref="G135:G195" si="31">+C135</f>
        <v>0</v>
      </c>
      <c r="H135" s="87">
        <f t="shared" ref="H135:H195" si="32">+F135+G135</f>
        <v>91180305.200000003</v>
      </c>
      <c r="I135" s="87">
        <f>+NFS!D381</f>
        <v>91180305.200000003</v>
      </c>
      <c r="J135" s="87">
        <f t="shared" ref="J135:J195" si="33">+H135-I135</f>
        <v>0</v>
      </c>
      <c r="K135" s="87">
        <f t="shared" ref="K135:K195" si="34">+B135-F135</f>
        <v>0</v>
      </c>
      <c r="L135" s="210">
        <f t="shared" ref="L135:L195" si="35">+D135-I135</f>
        <v>0</v>
      </c>
    </row>
    <row r="136" spans="1:12">
      <c r="A136" s="100" t="s">
        <v>663</v>
      </c>
      <c r="B136" s="79">
        <v>8670721527.3400002</v>
      </c>
      <c r="C136" s="79">
        <v>504679957.56999999</v>
      </c>
      <c r="D136" s="79">
        <v>9175401484.9099998</v>
      </c>
      <c r="F136" s="87">
        <f>+NFS!J386</f>
        <v>8670721527.3400002</v>
      </c>
      <c r="G136" s="87">
        <f t="shared" si="31"/>
        <v>504679957.56999999</v>
      </c>
      <c r="H136" s="87">
        <f t="shared" si="32"/>
        <v>9175401484.9099998</v>
      </c>
      <c r="I136" s="87">
        <f>+NFS!D386</f>
        <v>9175401484.9099998</v>
      </c>
      <c r="J136" s="87">
        <f t="shared" si="33"/>
        <v>0</v>
      </c>
      <c r="K136" s="87">
        <f t="shared" si="34"/>
        <v>0</v>
      </c>
      <c r="L136" s="210">
        <f t="shared" si="35"/>
        <v>0</v>
      </c>
    </row>
    <row r="137" spans="1:12" ht="27.6">
      <c r="A137" s="100" t="s">
        <v>664</v>
      </c>
      <c r="B137" s="79">
        <v>-46522421.799999997</v>
      </c>
      <c r="C137" s="77">
        <v>0</v>
      </c>
      <c r="D137" s="79">
        <v>-46522421.799999997</v>
      </c>
      <c r="F137" s="87">
        <f>+NFS!J387</f>
        <v>-46522421.799999997</v>
      </c>
      <c r="G137" s="87">
        <f t="shared" si="31"/>
        <v>0</v>
      </c>
      <c r="H137" s="87">
        <f t="shared" si="32"/>
        <v>-46522421.799999997</v>
      </c>
      <c r="I137" s="87">
        <f>+NFS!D387</f>
        <v>-46522421.799999997</v>
      </c>
      <c r="J137" s="87">
        <f t="shared" si="33"/>
        <v>0</v>
      </c>
      <c r="K137" s="87">
        <f t="shared" si="34"/>
        <v>0</v>
      </c>
      <c r="L137" s="210">
        <f t="shared" si="35"/>
        <v>0</v>
      </c>
    </row>
    <row r="138" spans="1:12">
      <c r="A138" s="100" t="s">
        <v>406</v>
      </c>
      <c r="B138" s="79">
        <v>5824650245.8100004</v>
      </c>
      <c r="C138" s="79">
        <v>554167196.25</v>
      </c>
      <c r="D138" s="79">
        <v>6378817442.0600004</v>
      </c>
      <c r="F138" s="87">
        <f>+NFS!J388</f>
        <v>5824650245.8100004</v>
      </c>
      <c r="G138" s="87">
        <f t="shared" si="31"/>
        <v>554167196.25</v>
      </c>
      <c r="H138" s="87">
        <f t="shared" si="32"/>
        <v>6378817442.0600004</v>
      </c>
      <c r="I138" s="87">
        <f>+NFS!D388</f>
        <v>6378817442.0600004</v>
      </c>
      <c r="J138" s="87">
        <f t="shared" si="33"/>
        <v>0</v>
      </c>
      <c r="K138" s="87">
        <f t="shared" si="34"/>
        <v>0</v>
      </c>
      <c r="L138" s="210">
        <f t="shared" si="35"/>
        <v>0</v>
      </c>
    </row>
    <row r="139" spans="1:12">
      <c r="A139" s="100" t="s">
        <v>665</v>
      </c>
      <c r="B139" s="79">
        <v>-365040321.39999998</v>
      </c>
      <c r="C139" s="77">
        <v>0</v>
      </c>
      <c r="D139" s="79">
        <v>-365040321.39999998</v>
      </c>
      <c r="F139" s="87">
        <f>+NFS!J389</f>
        <v>-365040321.39999998</v>
      </c>
      <c r="G139" s="87">
        <f t="shared" si="31"/>
        <v>0</v>
      </c>
      <c r="H139" s="87">
        <f t="shared" si="32"/>
        <v>-365040321.39999998</v>
      </c>
      <c r="I139" s="87">
        <f>+NFS!D389</f>
        <v>-365040321.39999998</v>
      </c>
      <c r="J139" s="87">
        <f t="shared" si="33"/>
        <v>0</v>
      </c>
      <c r="K139" s="87">
        <f t="shared" si="34"/>
        <v>0</v>
      </c>
      <c r="L139" s="210">
        <f t="shared" si="35"/>
        <v>0</v>
      </c>
    </row>
    <row r="140" spans="1:12">
      <c r="A140" s="100" t="s">
        <v>408</v>
      </c>
      <c r="B140" s="79">
        <v>404073115.30000001</v>
      </c>
      <c r="C140" s="77">
        <v>0</v>
      </c>
      <c r="D140" s="79">
        <v>404073115.30000001</v>
      </c>
      <c r="F140" s="87">
        <f>+NFS!J390</f>
        <v>404073115.30000001</v>
      </c>
      <c r="G140" s="87">
        <f t="shared" si="31"/>
        <v>0</v>
      </c>
      <c r="H140" s="87">
        <f t="shared" si="32"/>
        <v>404073115.30000001</v>
      </c>
      <c r="I140" s="87">
        <f>+NFS!D390</f>
        <v>404073115.30000001</v>
      </c>
      <c r="J140" s="87">
        <f t="shared" si="33"/>
        <v>0</v>
      </c>
      <c r="K140" s="87">
        <f t="shared" si="34"/>
        <v>0</v>
      </c>
      <c r="L140" s="210">
        <f t="shared" si="35"/>
        <v>0</v>
      </c>
    </row>
    <row r="141" spans="1:12">
      <c r="A141" s="100" t="s">
        <v>409</v>
      </c>
      <c r="B141" s="79">
        <v>4478060060.7299995</v>
      </c>
      <c r="C141" s="79">
        <v>-50716660.659999996</v>
      </c>
      <c r="D141" s="79">
        <v>4427343400.0699997</v>
      </c>
      <c r="F141" s="87">
        <f>+NFS!J395</f>
        <v>4478060060.7299995</v>
      </c>
      <c r="G141" s="87">
        <f t="shared" si="31"/>
        <v>-50716660.659999996</v>
      </c>
      <c r="H141" s="87">
        <f t="shared" si="32"/>
        <v>4427343400.0699997</v>
      </c>
      <c r="I141" s="87">
        <f>+NFS!D395</f>
        <v>4427343400.0699997</v>
      </c>
      <c r="J141" s="87">
        <f t="shared" si="33"/>
        <v>0</v>
      </c>
      <c r="K141" s="87">
        <f t="shared" si="34"/>
        <v>0</v>
      </c>
      <c r="L141" s="210">
        <f t="shared" si="35"/>
        <v>0</v>
      </c>
    </row>
    <row r="142" spans="1:12">
      <c r="A142" s="100" t="s">
        <v>410</v>
      </c>
      <c r="B142" s="79">
        <v>633544.43000000005</v>
      </c>
      <c r="C142" s="77">
        <v>0</v>
      </c>
      <c r="D142" s="79">
        <v>633544.43000000005</v>
      </c>
      <c r="F142" s="87">
        <f>+NFS!J396</f>
        <v>633544.43000000005</v>
      </c>
      <c r="G142" s="87">
        <f t="shared" si="31"/>
        <v>0</v>
      </c>
      <c r="H142" s="87">
        <f t="shared" si="32"/>
        <v>633544.43000000005</v>
      </c>
      <c r="I142" s="87">
        <f>+NFS!D396</f>
        <v>633544.43000000005</v>
      </c>
      <c r="J142" s="87">
        <f t="shared" si="33"/>
        <v>0</v>
      </c>
      <c r="K142" s="87">
        <f t="shared" si="34"/>
        <v>0</v>
      </c>
      <c r="L142" s="210">
        <f t="shared" si="35"/>
        <v>0</v>
      </c>
    </row>
    <row r="143" spans="1:12">
      <c r="A143" s="100" t="s">
        <v>411</v>
      </c>
      <c r="B143" s="79">
        <v>153012117.47999999</v>
      </c>
      <c r="C143" s="77">
        <v>0</v>
      </c>
      <c r="D143" s="79">
        <v>153012117.47999999</v>
      </c>
      <c r="F143" s="87">
        <f>+NFS!J397</f>
        <v>153012117.47999999</v>
      </c>
      <c r="G143" s="87">
        <f t="shared" si="31"/>
        <v>0</v>
      </c>
      <c r="H143" s="87">
        <f t="shared" si="32"/>
        <v>153012117.47999999</v>
      </c>
      <c r="I143" s="87">
        <f>+NFS!D397</f>
        <v>153012117.47999999</v>
      </c>
      <c r="J143" s="87">
        <f t="shared" si="33"/>
        <v>0</v>
      </c>
      <c r="K143" s="87">
        <f t="shared" si="34"/>
        <v>0</v>
      </c>
      <c r="L143" s="210">
        <f t="shared" si="35"/>
        <v>0</v>
      </c>
    </row>
    <row r="144" spans="1:12">
      <c r="A144" s="100" t="s">
        <v>412</v>
      </c>
      <c r="B144" s="79">
        <v>16549112.050000001</v>
      </c>
      <c r="C144" s="77">
        <v>0</v>
      </c>
      <c r="D144" s="79">
        <v>16549112.050000001</v>
      </c>
      <c r="F144" s="87">
        <f>+NFS!J398</f>
        <v>16549112.050000001</v>
      </c>
      <c r="G144" s="87">
        <f t="shared" si="31"/>
        <v>0</v>
      </c>
      <c r="H144" s="87">
        <f t="shared" si="32"/>
        <v>16549112.050000001</v>
      </c>
      <c r="I144" s="87">
        <f>+NFS!D398</f>
        <v>16549112.050000001</v>
      </c>
      <c r="J144" s="87">
        <f t="shared" si="33"/>
        <v>0</v>
      </c>
      <c r="K144" s="87">
        <f t="shared" si="34"/>
        <v>0</v>
      </c>
      <c r="L144" s="210">
        <f t="shared" si="35"/>
        <v>0</v>
      </c>
    </row>
    <row r="145" spans="1:12">
      <c r="A145" s="100" t="s">
        <v>414</v>
      </c>
      <c r="B145" s="77">
        <v>800.5</v>
      </c>
      <c r="C145" s="77">
        <v>0</v>
      </c>
      <c r="D145" s="77">
        <v>800.5</v>
      </c>
      <c r="F145" s="87">
        <f>+NFS!J403</f>
        <v>800.5</v>
      </c>
      <c r="G145" s="87">
        <f t="shared" si="31"/>
        <v>0</v>
      </c>
      <c r="H145" s="87">
        <f t="shared" si="32"/>
        <v>800.5</v>
      </c>
      <c r="I145" s="87">
        <f>+NFS!D403</f>
        <v>800.5</v>
      </c>
      <c r="J145" s="87">
        <f t="shared" si="33"/>
        <v>0</v>
      </c>
      <c r="K145" s="87">
        <f t="shared" si="34"/>
        <v>0</v>
      </c>
      <c r="L145" s="210">
        <f t="shared" si="35"/>
        <v>0</v>
      </c>
    </row>
    <row r="146" spans="1:12" ht="27.6">
      <c r="A146" s="100" t="s">
        <v>666</v>
      </c>
      <c r="B146" s="79">
        <v>107378681.55</v>
      </c>
      <c r="C146" s="77">
        <v>0</v>
      </c>
      <c r="D146" s="79">
        <v>107378681.55</v>
      </c>
      <c r="F146" s="87">
        <f>+NFS!J408</f>
        <v>107378681.55</v>
      </c>
      <c r="G146" s="87">
        <f t="shared" si="31"/>
        <v>0</v>
      </c>
      <c r="H146" s="87">
        <f t="shared" si="32"/>
        <v>107378681.55</v>
      </c>
      <c r="I146" s="87">
        <f>+NFS!D408</f>
        <v>107378681.55</v>
      </c>
      <c r="J146" s="87">
        <f t="shared" si="33"/>
        <v>0</v>
      </c>
      <c r="K146" s="87">
        <f t="shared" si="34"/>
        <v>0</v>
      </c>
      <c r="L146" s="210">
        <f t="shared" si="35"/>
        <v>0</v>
      </c>
    </row>
    <row r="147" spans="1:12" ht="28.2" thickBot="1">
      <c r="A147" s="100" t="s">
        <v>667</v>
      </c>
      <c r="B147" s="79">
        <v>3763196569</v>
      </c>
      <c r="C147" s="77">
        <v>0</v>
      </c>
      <c r="D147" s="79">
        <v>3763196569</v>
      </c>
      <c r="F147" s="87">
        <f>+NFS!J420</f>
        <v>3763196569</v>
      </c>
      <c r="G147" s="87">
        <f t="shared" si="31"/>
        <v>0</v>
      </c>
      <c r="H147" s="87">
        <f t="shared" si="32"/>
        <v>3763196569</v>
      </c>
      <c r="I147" s="87">
        <f>+NFS!D420</f>
        <v>3763196569</v>
      </c>
      <c r="J147" s="87">
        <f t="shared" si="33"/>
        <v>0</v>
      </c>
      <c r="K147" s="87">
        <f t="shared" si="34"/>
        <v>0</v>
      </c>
      <c r="L147" s="210">
        <f t="shared" si="35"/>
        <v>0</v>
      </c>
    </row>
    <row r="148" spans="1:12" ht="15" thickBot="1">
      <c r="A148" s="204" t="s">
        <v>668</v>
      </c>
      <c r="B148" s="205">
        <v>23103341825.110001</v>
      </c>
      <c r="C148" s="205">
        <v>1008130493.15</v>
      </c>
      <c r="D148" s="205">
        <v>24111472318.259998</v>
      </c>
      <c r="L148" s="210"/>
    </row>
    <row r="149" spans="1:12">
      <c r="A149" s="100" t="s">
        <v>421</v>
      </c>
      <c r="B149" s="79">
        <v>502632551.01999998</v>
      </c>
      <c r="C149" s="77">
        <v>0</v>
      </c>
      <c r="D149" s="79">
        <v>502632551.01999998</v>
      </c>
      <c r="F149" s="87">
        <f>+NFS!J430</f>
        <v>502632551.01999998</v>
      </c>
      <c r="G149" s="87">
        <f t="shared" si="31"/>
        <v>0</v>
      </c>
      <c r="H149" s="87">
        <f t="shared" si="32"/>
        <v>502632551.01999998</v>
      </c>
      <c r="I149" s="87">
        <f>+NFS!D430</f>
        <v>502632551.01999998</v>
      </c>
      <c r="J149" s="87">
        <f t="shared" si="33"/>
        <v>0</v>
      </c>
      <c r="K149" s="87">
        <f t="shared" si="34"/>
        <v>0</v>
      </c>
      <c r="L149" s="210">
        <f t="shared" si="35"/>
        <v>0</v>
      </c>
    </row>
    <row r="150" spans="1:12">
      <c r="A150" s="100" t="s">
        <v>422</v>
      </c>
      <c r="B150" s="79">
        <v>11324013.5</v>
      </c>
      <c r="C150" s="77">
        <v>0</v>
      </c>
      <c r="D150" s="79">
        <v>11324013.5</v>
      </c>
      <c r="F150" s="87">
        <f>+NFS!J431</f>
        <v>11324013.5</v>
      </c>
      <c r="G150" s="87">
        <f t="shared" si="31"/>
        <v>0</v>
      </c>
      <c r="H150" s="87">
        <f t="shared" si="32"/>
        <v>11324013.5</v>
      </c>
      <c r="I150" s="87">
        <f>+NFS!D431</f>
        <v>11324013.5</v>
      </c>
      <c r="J150" s="87">
        <f t="shared" si="33"/>
        <v>0</v>
      </c>
      <c r="K150" s="87">
        <f t="shared" si="34"/>
        <v>0</v>
      </c>
      <c r="L150" s="210">
        <f t="shared" si="35"/>
        <v>0</v>
      </c>
    </row>
    <row r="151" spans="1:12" ht="27.6">
      <c r="A151" s="100" t="s">
        <v>669</v>
      </c>
      <c r="B151" s="79">
        <v>10210969.699999999</v>
      </c>
      <c r="C151" s="77">
        <v>0</v>
      </c>
      <c r="D151" s="79">
        <v>10210969.699999999</v>
      </c>
      <c r="F151" s="87">
        <f>+NFS!J432</f>
        <v>10210969.699999999</v>
      </c>
      <c r="G151" s="87">
        <f t="shared" si="31"/>
        <v>0</v>
      </c>
      <c r="H151" s="87">
        <f t="shared" si="32"/>
        <v>10210969.699999999</v>
      </c>
      <c r="I151" s="87">
        <f>+NFS!D432</f>
        <v>10210969.699999999</v>
      </c>
      <c r="J151" s="87">
        <f t="shared" si="33"/>
        <v>0</v>
      </c>
      <c r="K151" s="87">
        <f t="shared" si="34"/>
        <v>0</v>
      </c>
      <c r="L151" s="210">
        <f t="shared" si="35"/>
        <v>0</v>
      </c>
    </row>
    <row r="152" spans="1:12">
      <c r="A152" s="100" t="s">
        <v>424</v>
      </c>
      <c r="B152" s="79">
        <v>137944497.38999999</v>
      </c>
      <c r="C152" s="77">
        <v>0</v>
      </c>
      <c r="D152" s="79">
        <v>137944497.38999999</v>
      </c>
      <c r="F152" s="87">
        <f>+NFS!J433</f>
        <v>137944497.38999999</v>
      </c>
      <c r="G152" s="87">
        <f t="shared" si="31"/>
        <v>0</v>
      </c>
      <c r="H152" s="87">
        <f t="shared" si="32"/>
        <v>137944497.38999999</v>
      </c>
      <c r="I152" s="87">
        <f>+NFS!D433</f>
        <v>137944497.38999999</v>
      </c>
      <c r="J152" s="87">
        <f t="shared" si="33"/>
        <v>0</v>
      </c>
      <c r="K152" s="87">
        <f t="shared" si="34"/>
        <v>0</v>
      </c>
      <c r="L152" s="210">
        <f t="shared" si="35"/>
        <v>0</v>
      </c>
    </row>
    <row r="153" spans="1:12">
      <c r="A153" s="100" t="s">
        <v>425</v>
      </c>
      <c r="B153" s="79">
        <v>57321469.100000001</v>
      </c>
      <c r="C153" s="77">
        <v>0</v>
      </c>
      <c r="D153" s="79">
        <v>57321469.100000001</v>
      </c>
      <c r="F153" s="87">
        <f>+NFS!J434</f>
        <v>57321469.100000001</v>
      </c>
      <c r="G153" s="87">
        <f t="shared" si="31"/>
        <v>0</v>
      </c>
      <c r="H153" s="87">
        <f t="shared" si="32"/>
        <v>57321469.100000001</v>
      </c>
      <c r="I153" s="87">
        <f>+NFS!D434</f>
        <v>57321469.100000001</v>
      </c>
      <c r="J153" s="87">
        <f t="shared" si="33"/>
        <v>0</v>
      </c>
      <c r="K153" s="87">
        <f t="shared" si="34"/>
        <v>0</v>
      </c>
      <c r="L153" s="210">
        <f t="shared" si="35"/>
        <v>0</v>
      </c>
    </row>
    <row r="154" spans="1:12">
      <c r="A154" s="100" t="s">
        <v>426</v>
      </c>
      <c r="B154" s="79">
        <v>42413079.530000001</v>
      </c>
      <c r="C154" s="77">
        <v>0</v>
      </c>
      <c r="D154" s="79">
        <v>42413079.530000001</v>
      </c>
      <c r="F154" s="87">
        <f>+NFS!J435</f>
        <v>42413079.530000001</v>
      </c>
      <c r="G154" s="87">
        <f t="shared" si="31"/>
        <v>0</v>
      </c>
      <c r="H154" s="87">
        <f t="shared" si="32"/>
        <v>42413079.530000001</v>
      </c>
      <c r="I154" s="87">
        <f>+NFS!D435</f>
        <v>42413079.530000001</v>
      </c>
      <c r="J154" s="87">
        <f t="shared" si="33"/>
        <v>0</v>
      </c>
      <c r="K154" s="87">
        <f t="shared" si="34"/>
        <v>0</v>
      </c>
      <c r="L154" s="210">
        <f t="shared" si="35"/>
        <v>0</v>
      </c>
    </row>
    <row r="155" spans="1:12">
      <c r="A155" s="100" t="s">
        <v>427</v>
      </c>
      <c r="B155" s="79">
        <v>41712226.780000001</v>
      </c>
      <c r="C155" s="77">
        <v>0</v>
      </c>
      <c r="D155" s="79">
        <v>41712226.780000001</v>
      </c>
      <c r="F155" s="87">
        <f>+NFS!J436</f>
        <v>41712226.780000001</v>
      </c>
      <c r="G155" s="87">
        <f t="shared" si="31"/>
        <v>0</v>
      </c>
      <c r="H155" s="87">
        <f t="shared" si="32"/>
        <v>41712226.780000001</v>
      </c>
      <c r="I155" s="87">
        <f>+NFS!D436</f>
        <v>41712226.780000001</v>
      </c>
      <c r="J155" s="87">
        <f t="shared" si="33"/>
        <v>0</v>
      </c>
      <c r="K155" s="87">
        <f t="shared" si="34"/>
        <v>0</v>
      </c>
      <c r="L155" s="210">
        <f t="shared" si="35"/>
        <v>0</v>
      </c>
    </row>
    <row r="156" spans="1:12" ht="27.6">
      <c r="A156" s="100" t="s">
        <v>670</v>
      </c>
      <c r="B156" s="79">
        <v>1987898</v>
      </c>
      <c r="C156" s="77">
        <v>0</v>
      </c>
      <c r="D156" s="79">
        <v>1987898</v>
      </c>
      <c r="F156" s="87">
        <f>+NFS!J437</f>
        <v>1987898</v>
      </c>
      <c r="G156" s="87">
        <f t="shared" si="31"/>
        <v>0</v>
      </c>
      <c r="H156" s="87">
        <f t="shared" si="32"/>
        <v>1987898</v>
      </c>
      <c r="I156" s="87">
        <f>+NFS!D437</f>
        <v>1987898</v>
      </c>
      <c r="J156" s="87">
        <f t="shared" si="33"/>
        <v>0</v>
      </c>
      <c r="K156" s="87">
        <f t="shared" si="34"/>
        <v>0</v>
      </c>
      <c r="L156" s="210">
        <f t="shared" si="35"/>
        <v>0</v>
      </c>
    </row>
    <row r="157" spans="1:12" ht="27.6">
      <c r="A157" s="100" t="s">
        <v>671</v>
      </c>
      <c r="B157" s="79">
        <v>701222.91</v>
      </c>
      <c r="C157" s="77">
        <v>0</v>
      </c>
      <c r="D157" s="79">
        <v>701222.91</v>
      </c>
      <c r="F157" s="87">
        <f>+NFS!J438</f>
        <v>701222.91</v>
      </c>
      <c r="G157" s="87">
        <f t="shared" si="31"/>
        <v>0</v>
      </c>
      <c r="H157" s="87">
        <f t="shared" si="32"/>
        <v>701222.91</v>
      </c>
      <c r="I157" s="87">
        <f>+NFS!D438</f>
        <v>701222.91</v>
      </c>
      <c r="J157" s="87">
        <f t="shared" si="33"/>
        <v>0</v>
      </c>
      <c r="K157" s="87">
        <f t="shared" si="34"/>
        <v>0</v>
      </c>
      <c r="L157" s="210">
        <f t="shared" si="35"/>
        <v>0</v>
      </c>
    </row>
    <row r="158" spans="1:12">
      <c r="A158" s="100" t="s">
        <v>430</v>
      </c>
      <c r="B158" s="79">
        <v>82614.81</v>
      </c>
      <c r="C158" s="77">
        <v>0</v>
      </c>
      <c r="D158" s="79">
        <v>82614.81</v>
      </c>
      <c r="F158" s="87">
        <f>+NFS!J439</f>
        <v>82614.81</v>
      </c>
      <c r="G158" s="87">
        <f t="shared" si="31"/>
        <v>0</v>
      </c>
      <c r="H158" s="87">
        <f t="shared" si="32"/>
        <v>82614.81</v>
      </c>
      <c r="I158" s="87">
        <f>+NFS!D439</f>
        <v>82614.81</v>
      </c>
      <c r="J158" s="87">
        <f t="shared" si="33"/>
        <v>0</v>
      </c>
      <c r="K158" s="87">
        <f t="shared" si="34"/>
        <v>0</v>
      </c>
      <c r="L158" s="210">
        <f t="shared" si="35"/>
        <v>0</v>
      </c>
    </row>
    <row r="159" spans="1:12">
      <c r="A159" s="100" t="s">
        <v>432</v>
      </c>
      <c r="B159" s="79">
        <v>34507.019999999997</v>
      </c>
      <c r="C159" s="77">
        <v>0</v>
      </c>
      <c r="D159" s="79">
        <v>34507.019999999997</v>
      </c>
      <c r="F159" s="87">
        <f>+NFS!J444</f>
        <v>34507.019999999997</v>
      </c>
      <c r="G159" s="87">
        <f t="shared" si="31"/>
        <v>0</v>
      </c>
      <c r="H159" s="87">
        <f t="shared" si="32"/>
        <v>34507.019999999997</v>
      </c>
      <c r="I159" s="87">
        <f>+NFS!D444</f>
        <v>34507.019999999997</v>
      </c>
      <c r="J159" s="87">
        <f t="shared" si="33"/>
        <v>0</v>
      </c>
      <c r="K159" s="87">
        <f t="shared" si="34"/>
        <v>0</v>
      </c>
      <c r="L159" s="210">
        <f t="shared" si="35"/>
        <v>0</v>
      </c>
    </row>
    <row r="160" spans="1:12">
      <c r="A160" s="100" t="s">
        <v>433</v>
      </c>
      <c r="B160" s="79">
        <v>114700.22</v>
      </c>
      <c r="C160" s="77">
        <v>0</v>
      </c>
      <c r="D160" s="79">
        <v>114700.22</v>
      </c>
      <c r="F160" s="87">
        <f>+NFS!J445</f>
        <v>114700.22</v>
      </c>
      <c r="G160" s="87">
        <f t="shared" si="31"/>
        <v>0</v>
      </c>
      <c r="H160" s="87">
        <f t="shared" si="32"/>
        <v>114700.22</v>
      </c>
      <c r="I160" s="87">
        <f>+NFS!D445</f>
        <v>114700.22</v>
      </c>
      <c r="J160" s="87">
        <f t="shared" si="33"/>
        <v>0</v>
      </c>
      <c r="K160" s="87">
        <f t="shared" si="34"/>
        <v>0</v>
      </c>
      <c r="L160" s="210">
        <f t="shared" si="35"/>
        <v>0</v>
      </c>
    </row>
    <row r="161" spans="1:12">
      <c r="A161" s="100" t="s">
        <v>434</v>
      </c>
      <c r="B161" s="79">
        <v>22981039.219999999</v>
      </c>
      <c r="C161" s="77">
        <v>0</v>
      </c>
      <c r="D161" s="79">
        <v>22981039.219999999</v>
      </c>
      <c r="F161" s="87">
        <f>+NFS!J446</f>
        <v>22981039.219999999</v>
      </c>
      <c r="G161" s="87">
        <f t="shared" si="31"/>
        <v>0</v>
      </c>
      <c r="H161" s="87">
        <f t="shared" si="32"/>
        <v>22981039.219999999</v>
      </c>
      <c r="I161" s="87">
        <f>+NFS!D446</f>
        <v>22981039.219999999</v>
      </c>
      <c r="J161" s="87">
        <f t="shared" si="33"/>
        <v>0</v>
      </c>
      <c r="K161" s="87">
        <f t="shared" si="34"/>
        <v>0</v>
      </c>
      <c r="L161" s="210">
        <f t="shared" si="35"/>
        <v>0</v>
      </c>
    </row>
    <row r="162" spans="1:12">
      <c r="A162" s="100" t="s">
        <v>435</v>
      </c>
      <c r="B162" s="79">
        <v>2425435</v>
      </c>
      <c r="C162" s="77">
        <v>0</v>
      </c>
      <c r="D162" s="79">
        <v>2425435</v>
      </c>
      <c r="F162" s="87">
        <f>+NFS!J447</f>
        <v>2425435</v>
      </c>
      <c r="G162" s="87">
        <f t="shared" si="31"/>
        <v>0</v>
      </c>
      <c r="H162" s="87">
        <f t="shared" si="32"/>
        <v>2425435</v>
      </c>
      <c r="I162" s="87">
        <f>+NFS!D447</f>
        <v>2425435</v>
      </c>
      <c r="J162" s="87">
        <f t="shared" si="33"/>
        <v>0</v>
      </c>
      <c r="K162" s="87">
        <f t="shared" si="34"/>
        <v>0</v>
      </c>
      <c r="L162" s="210">
        <f t="shared" si="35"/>
        <v>0</v>
      </c>
    </row>
    <row r="163" spans="1:12">
      <c r="A163" s="100" t="s">
        <v>436</v>
      </c>
      <c r="B163" s="79">
        <v>115548539.48999999</v>
      </c>
      <c r="C163" s="77">
        <v>0</v>
      </c>
      <c r="D163" s="79">
        <v>115548539.48999999</v>
      </c>
      <c r="F163" s="87">
        <f>+NFS!J448</f>
        <v>115548539.48999999</v>
      </c>
      <c r="G163" s="87">
        <f t="shared" si="31"/>
        <v>0</v>
      </c>
      <c r="H163" s="87">
        <f t="shared" si="32"/>
        <v>115548539.48999999</v>
      </c>
      <c r="I163" s="87">
        <f>+NFS!D448</f>
        <v>115548539.48999999</v>
      </c>
      <c r="J163" s="87">
        <f t="shared" si="33"/>
        <v>0</v>
      </c>
      <c r="K163" s="87">
        <f t="shared" si="34"/>
        <v>0</v>
      </c>
      <c r="L163" s="210">
        <f t="shared" si="35"/>
        <v>0</v>
      </c>
    </row>
    <row r="164" spans="1:12">
      <c r="A164" s="100" t="s">
        <v>437</v>
      </c>
      <c r="B164" s="79">
        <v>79649749.25</v>
      </c>
      <c r="C164" s="77">
        <v>0</v>
      </c>
      <c r="D164" s="79">
        <v>79649749.25</v>
      </c>
      <c r="F164" s="87">
        <f>+NFS!J449</f>
        <v>79649749.25</v>
      </c>
      <c r="G164" s="87">
        <f t="shared" si="31"/>
        <v>0</v>
      </c>
      <c r="H164" s="87">
        <f t="shared" si="32"/>
        <v>79649749.25</v>
      </c>
      <c r="I164" s="87">
        <f>+NFS!D449</f>
        <v>79649749.25</v>
      </c>
      <c r="J164" s="87">
        <f t="shared" si="33"/>
        <v>0</v>
      </c>
      <c r="K164" s="87">
        <f t="shared" si="34"/>
        <v>0</v>
      </c>
      <c r="L164" s="210">
        <f t="shared" si="35"/>
        <v>0</v>
      </c>
    </row>
    <row r="165" spans="1:12" ht="27.6">
      <c r="A165" s="100" t="s">
        <v>672</v>
      </c>
      <c r="B165" s="79">
        <v>33127172.18</v>
      </c>
      <c r="C165" s="77">
        <v>0</v>
      </c>
      <c r="D165" s="79">
        <v>33127172.18</v>
      </c>
      <c r="F165" s="87">
        <f>+NFS!J450</f>
        <v>33127172.18</v>
      </c>
      <c r="G165" s="87">
        <f t="shared" si="31"/>
        <v>0</v>
      </c>
      <c r="H165" s="87">
        <f t="shared" si="32"/>
        <v>33127172.18</v>
      </c>
      <c r="I165" s="87">
        <f>+NFS!D450</f>
        <v>33127172.18</v>
      </c>
      <c r="J165" s="87">
        <f t="shared" si="33"/>
        <v>0</v>
      </c>
      <c r="K165" s="87">
        <f t="shared" si="34"/>
        <v>0</v>
      </c>
      <c r="L165" s="210">
        <f t="shared" si="35"/>
        <v>0</v>
      </c>
    </row>
    <row r="166" spans="1:12">
      <c r="A166" s="100" t="s">
        <v>439</v>
      </c>
      <c r="B166" s="79">
        <v>17924149.219999999</v>
      </c>
      <c r="C166" s="77">
        <v>0</v>
      </c>
      <c r="D166" s="79">
        <v>17924149.219999999</v>
      </c>
      <c r="F166" s="87">
        <f>+NFS!J451</f>
        <v>17924149.219999999</v>
      </c>
      <c r="G166" s="87">
        <f t="shared" si="31"/>
        <v>0</v>
      </c>
      <c r="H166" s="87">
        <f t="shared" si="32"/>
        <v>17924149.219999999</v>
      </c>
      <c r="I166" s="87">
        <f>+NFS!D451</f>
        <v>17924149.219999999</v>
      </c>
      <c r="J166" s="87">
        <f t="shared" si="33"/>
        <v>0</v>
      </c>
      <c r="K166" s="87">
        <f t="shared" si="34"/>
        <v>0</v>
      </c>
      <c r="L166" s="210">
        <f t="shared" si="35"/>
        <v>0</v>
      </c>
    </row>
    <row r="167" spans="1:12" ht="27.6">
      <c r="A167" s="100" t="s">
        <v>673</v>
      </c>
      <c r="B167" s="79">
        <v>30300</v>
      </c>
      <c r="C167" s="77">
        <v>0</v>
      </c>
      <c r="D167" s="79">
        <v>30300</v>
      </c>
      <c r="F167" s="87">
        <f>+NFS!J452</f>
        <v>30300</v>
      </c>
      <c r="G167" s="87">
        <f t="shared" si="31"/>
        <v>0</v>
      </c>
      <c r="H167" s="87">
        <f t="shared" si="32"/>
        <v>30300</v>
      </c>
      <c r="I167" s="87">
        <f>+NFS!D452</f>
        <v>30300</v>
      </c>
      <c r="J167" s="87">
        <f t="shared" si="33"/>
        <v>0</v>
      </c>
      <c r="K167" s="87">
        <f t="shared" si="34"/>
        <v>0</v>
      </c>
      <c r="L167" s="210">
        <f t="shared" si="35"/>
        <v>0</v>
      </c>
    </row>
    <row r="168" spans="1:12">
      <c r="A168" s="100" t="s">
        <v>441</v>
      </c>
      <c r="B168" s="79">
        <v>142777340.36000001</v>
      </c>
      <c r="C168" s="77">
        <v>0</v>
      </c>
      <c r="D168" s="79">
        <v>142777340.36000001</v>
      </c>
      <c r="F168" s="87">
        <f>+NFS!J453</f>
        <v>142777340.36000001</v>
      </c>
      <c r="G168" s="87">
        <f t="shared" si="31"/>
        <v>0</v>
      </c>
      <c r="H168" s="87">
        <f t="shared" si="32"/>
        <v>142777340.36000001</v>
      </c>
      <c r="I168" s="87">
        <f>+NFS!D453</f>
        <v>142777340.36000001</v>
      </c>
      <c r="J168" s="87">
        <f t="shared" si="33"/>
        <v>0</v>
      </c>
      <c r="K168" s="87">
        <f t="shared" si="34"/>
        <v>0</v>
      </c>
      <c r="L168" s="210">
        <f t="shared" si="35"/>
        <v>0</v>
      </c>
    </row>
    <row r="169" spans="1:12">
      <c r="A169" s="100" t="s">
        <v>442</v>
      </c>
      <c r="B169" s="79">
        <v>443740616.14999998</v>
      </c>
      <c r="C169" s="79">
        <v>-441529438.14999998</v>
      </c>
      <c r="D169" s="79">
        <v>2211178</v>
      </c>
      <c r="F169" s="87">
        <f>+NFS!J454</f>
        <v>443740616.14999998</v>
      </c>
      <c r="G169" s="87">
        <f t="shared" si="31"/>
        <v>-441529438.14999998</v>
      </c>
      <c r="H169" s="87">
        <f t="shared" si="32"/>
        <v>2211178</v>
      </c>
      <c r="I169" s="87">
        <f>+NFS!D454</f>
        <v>2211178</v>
      </c>
      <c r="J169" s="87">
        <f t="shared" si="33"/>
        <v>0</v>
      </c>
      <c r="K169" s="87">
        <f t="shared" si="34"/>
        <v>0</v>
      </c>
      <c r="L169" s="210">
        <f t="shared" si="35"/>
        <v>0</v>
      </c>
    </row>
    <row r="170" spans="1:12">
      <c r="A170" s="100" t="s">
        <v>443</v>
      </c>
      <c r="B170" s="79">
        <v>47029822.75</v>
      </c>
      <c r="C170" s="77">
        <v>0</v>
      </c>
      <c r="D170" s="79">
        <v>47029822.75</v>
      </c>
      <c r="F170" s="87">
        <f>+NFS!J455</f>
        <v>47029822.75</v>
      </c>
      <c r="G170" s="87">
        <f t="shared" si="31"/>
        <v>0</v>
      </c>
      <c r="H170" s="87">
        <f t="shared" si="32"/>
        <v>47029822.75</v>
      </c>
      <c r="I170" s="87">
        <f>+NFS!D455</f>
        <v>47029822.75</v>
      </c>
      <c r="J170" s="87">
        <f t="shared" si="33"/>
        <v>0</v>
      </c>
      <c r="K170" s="87">
        <f t="shared" si="34"/>
        <v>0</v>
      </c>
      <c r="L170" s="210">
        <f t="shared" si="35"/>
        <v>0</v>
      </c>
    </row>
    <row r="171" spans="1:12" ht="15" thickBot="1">
      <c r="A171" s="100" t="s">
        <v>444</v>
      </c>
      <c r="B171" s="79">
        <v>7918346.3499999996</v>
      </c>
      <c r="C171" s="77">
        <v>0</v>
      </c>
      <c r="D171" s="79">
        <v>7918346.3499999996</v>
      </c>
      <c r="F171" s="87">
        <f>+NFS!J456</f>
        <v>7918346.3499999996</v>
      </c>
      <c r="G171" s="87">
        <f t="shared" si="31"/>
        <v>0</v>
      </c>
      <c r="H171" s="87">
        <f t="shared" si="32"/>
        <v>7918346.3499999996</v>
      </c>
      <c r="I171" s="87">
        <f>+NFS!D456</f>
        <v>7918346.3499999996</v>
      </c>
      <c r="J171" s="87">
        <f t="shared" si="33"/>
        <v>0</v>
      </c>
      <c r="K171" s="87">
        <f t="shared" si="34"/>
        <v>0</v>
      </c>
      <c r="L171" s="210">
        <f t="shared" si="35"/>
        <v>0</v>
      </c>
    </row>
    <row r="172" spans="1:12" ht="28.2" thickBot="1">
      <c r="A172" s="204" t="s">
        <v>674</v>
      </c>
      <c r="B172" s="205">
        <v>1719632259.95</v>
      </c>
      <c r="C172" s="206">
        <v>-441529438.14999998</v>
      </c>
      <c r="D172" s="205">
        <v>1278102821.8</v>
      </c>
      <c r="L172" s="210"/>
    </row>
    <row r="173" spans="1:12" ht="15" thickBot="1">
      <c r="A173" s="100" t="s">
        <v>675</v>
      </c>
      <c r="B173" s="79">
        <v>330472512.69999999</v>
      </c>
      <c r="C173" s="77">
        <v>0</v>
      </c>
      <c r="D173" s="79">
        <v>330472512.69999999</v>
      </c>
      <c r="F173" s="87">
        <f>+NFS!J477</f>
        <v>330472512.69999999</v>
      </c>
      <c r="G173" s="87">
        <f t="shared" si="31"/>
        <v>0</v>
      </c>
      <c r="H173" s="87">
        <f t="shared" si="32"/>
        <v>330472512.69999999</v>
      </c>
      <c r="I173" s="87">
        <f>+NFS!D477</f>
        <v>330472512.69999999</v>
      </c>
      <c r="J173" s="87">
        <f t="shared" si="33"/>
        <v>0</v>
      </c>
      <c r="K173" s="87">
        <f t="shared" si="34"/>
        <v>0</v>
      </c>
      <c r="L173" s="210">
        <f t="shared" si="35"/>
        <v>0</v>
      </c>
    </row>
    <row r="174" spans="1:12" ht="15" thickBot="1">
      <c r="A174" s="204" t="s">
        <v>676</v>
      </c>
      <c r="B174" s="205">
        <v>330472512.69999999</v>
      </c>
      <c r="C174" s="206">
        <v>0</v>
      </c>
      <c r="D174" s="205">
        <v>330472512.69999999</v>
      </c>
      <c r="L174" s="210"/>
    </row>
    <row r="175" spans="1:12" ht="28.2" thickBot="1">
      <c r="A175" s="211" t="s">
        <v>677</v>
      </c>
      <c r="B175" s="77">
        <v>1401157654.1700001</v>
      </c>
      <c r="C175" s="77">
        <v>0</v>
      </c>
      <c r="D175" s="77">
        <v>1401157654.1700001</v>
      </c>
      <c r="F175" s="87">
        <f>+NFS!J486</f>
        <v>1401157654.1700001</v>
      </c>
      <c r="G175" s="87">
        <f t="shared" si="31"/>
        <v>0</v>
      </c>
      <c r="H175" s="87">
        <f t="shared" si="32"/>
        <v>1401157654.1700001</v>
      </c>
      <c r="I175" s="87">
        <f>+NFS!D486</f>
        <v>1401157654.1700001</v>
      </c>
      <c r="J175" s="87">
        <f t="shared" si="33"/>
        <v>0</v>
      </c>
      <c r="K175" s="87">
        <f t="shared" si="34"/>
        <v>0</v>
      </c>
      <c r="L175" s="210">
        <f t="shared" si="35"/>
        <v>0</v>
      </c>
    </row>
    <row r="176" spans="1:12" ht="15" thickBot="1">
      <c r="A176" s="204" t="s">
        <v>678</v>
      </c>
      <c r="B176" s="205">
        <v>1401157654.1700001</v>
      </c>
      <c r="C176" s="206">
        <v>0</v>
      </c>
      <c r="D176" s="205">
        <v>1401157654.1700001</v>
      </c>
      <c r="L176" s="210"/>
    </row>
    <row r="177" spans="1:12" ht="15" thickBot="1">
      <c r="A177" s="100" t="s">
        <v>34</v>
      </c>
      <c r="B177" s="79">
        <v>16714676.01</v>
      </c>
      <c r="C177" s="77">
        <v>0</v>
      </c>
      <c r="D177" s="79">
        <v>16714676.01</v>
      </c>
      <c r="F177" s="87">
        <f>+NFS!J495</f>
        <v>16714676.01</v>
      </c>
      <c r="G177" s="87">
        <f t="shared" si="31"/>
        <v>0</v>
      </c>
      <c r="H177" s="87">
        <f t="shared" si="32"/>
        <v>16714676.01</v>
      </c>
      <c r="I177" s="87">
        <f>+NFS!D495</f>
        <v>16714676.01</v>
      </c>
      <c r="J177" s="87">
        <f t="shared" si="33"/>
        <v>0</v>
      </c>
      <c r="K177" s="87">
        <f t="shared" si="34"/>
        <v>0</v>
      </c>
      <c r="L177" s="210">
        <f t="shared" si="35"/>
        <v>0</v>
      </c>
    </row>
    <row r="178" spans="1:12" ht="15" thickBot="1">
      <c r="A178" s="204" t="s">
        <v>679</v>
      </c>
      <c r="B178" s="205">
        <v>16714676.01</v>
      </c>
      <c r="C178" s="206">
        <v>0</v>
      </c>
      <c r="D178" s="205">
        <v>16714676.01</v>
      </c>
      <c r="L178" s="210"/>
    </row>
    <row r="179" spans="1:12" ht="15" thickBot="1">
      <c r="A179" s="185" t="s">
        <v>680</v>
      </c>
      <c r="B179" s="190">
        <v>26571318927.939999</v>
      </c>
      <c r="C179" s="190">
        <v>566601055</v>
      </c>
      <c r="D179" s="190">
        <v>27137919982.939999</v>
      </c>
      <c r="L179" s="210"/>
    </row>
    <row r="180" spans="1:12">
      <c r="A180" s="76"/>
      <c r="B180" s="444"/>
      <c r="C180" s="440"/>
      <c r="D180" s="440"/>
      <c r="G180" s="87">
        <f t="shared" si="31"/>
        <v>0</v>
      </c>
      <c r="H180" s="87">
        <f t="shared" si="32"/>
        <v>0</v>
      </c>
      <c r="J180" s="87">
        <f t="shared" si="33"/>
        <v>0</v>
      </c>
      <c r="K180" s="87">
        <f t="shared" si="34"/>
        <v>0</v>
      </c>
      <c r="L180" s="210">
        <f t="shared" si="35"/>
        <v>0</v>
      </c>
    </row>
    <row r="181" spans="1:12">
      <c r="A181" s="76" t="s">
        <v>681</v>
      </c>
      <c r="B181" s="445"/>
      <c r="C181" s="441"/>
      <c r="D181" s="441"/>
      <c r="G181" s="87">
        <f t="shared" si="31"/>
        <v>0</v>
      </c>
      <c r="H181" s="87">
        <f t="shared" si="32"/>
        <v>0</v>
      </c>
      <c r="J181" s="87">
        <f t="shared" si="33"/>
        <v>0</v>
      </c>
      <c r="K181" s="87">
        <f t="shared" si="34"/>
        <v>0</v>
      </c>
      <c r="L181" s="210">
        <f t="shared" si="35"/>
        <v>0</v>
      </c>
    </row>
    <row r="182" spans="1:12">
      <c r="A182" s="100" t="s">
        <v>466</v>
      </c>
      <c r="B182" s="79">
        <v>3219359207.3600001</v>
      </c>
      <c r="C182" s="79">
        <v>4036811.53</v>
      </c>
      <c r="D182" s="79">
        <v>3223396018.8899999</v>
      </c>
      <c r="F182" s="87">
        <f>+NFS!J505</f>
        <v>3219359207.3600001</v>
      </c>
      <c r="G182" s="87">
        <f t="shared" si="31"/>
        <v>4036811.53</v>
      </c>
      <c r="H182" s="87">
        <f t="shared" si="32"/>
        <v>3223396018.8900003</v>
      </c>
      <c r="I182" s="87">
        <f>+NFS!D505</f>
        <v>3223396018.8899999</v>
      </c>
      <c r="J182" s="87">
        <f t="shared" si="33"/>
        <v>0</v>
      </c>
      <c r="K182" s="87">
        <f t="shared" si="34"/>
        <v>0</v>
      </c>
      <c r="L182" s="210">
        <f t="shared" si="35"/>
        <v>0</v>
      </c>
    </row>
    <row r="183" spans="1:12" ht="27.6">
      <c r="A183" s="100" t="s">
        <v>682</v>
      </c>
      <c r="B183" s="79">
        <v>926946</v>
      </c>
      <c r="C183" s="77">
        <v>0</v>
      </c>
      <c r="D183" s="79">
        <v>926946</v>
      </c>
      <c r="F183" s="87">
        <f>+NFS!J507</f>
        <v>926946</v>
      </c>
      <c r="G183" s="87">
        <f t="shared" si="31"/>
        <v>0</v>
      </c>
      <c r="H183" s="87">
        <f t="shared" si="32"/>
        <v>926946</v>
      </c>
      <c r="I183" s="87">
        <f>+NFS!D507</f>
        <v>926946</v>
      </c>
      <c r="J183" s="87">
        <f t="shared" si="33"/>
        <v>0</v>
      </c>
      <c r="K183" s="87">
        <f t="shared" si="34"/>
        <v>0</v>
      </c>
      <c r="L183" s="210">
        <f t="shared" si="35"/>
        <v>0</v>
      </c>
    </row>
    <row r="184" spans="1:12" ht="27.6">
      <c r="A184" s="100" t="s">
        <v>683</v>
      </c>
      <c r="B184" s="79">
        <v>220359228.94999999</v>
      </c>
      <c r="C184" s="79">
        <v>-13293.1</v>
      </c>
      <c r="D184" s="79">
        <v>220345935.84999999</v>
      </c>
      <c r="F184" s="87">
        <f>+NFS!J510</f>
        <v>220359228.94999999</v>
      </c>
      <c r="G184" s="87">
        <f t="shared" si="31"/>
        <v>-13293.1</v>
      </c>
      <c r="H184" s="87">
        <f t="shared" si="32"/>
        <v>220345935.84999999</v>
      </c>
      <c r="I184" s="87">
        <f>+NFS!D510</f>
        <v>220345935.84999999</v>
      </c>
      <c r="J184" s="87">
        <f t="shared" si="33"/>
        <v>0</v>
      </c>
      <c r="K184" s="87">
        <f t="shared" si="34"/>
        <v>0</v>
      </c>
      <c r="L184" s="210">
        <f t="shared" si="35"/>
        <v>0</v>
      </c>
    </row>
    <row r="185" spans="1:12">
      <c r="A185" s="100" t="s">
        <v>471</v>
      </c>
      <c r="B185" s="79">
        <v>25946639.329999998</v>
      </c>
      <c r="C185" s="77">
        <v>0</v>
      </c>
      <c r="D185" s="79">
        <v>25946639.329999998</v>
      </c>
      <c r="F185" s="87">
        <f>+NFS!J511</f>
        <v>25946639.329999998</v>
      </c>
      <c r="G185" s="87">
        <f t="shared" si="31"/>
        <v>0</v>
      </c>
      <c r="H185" s="87">
        <f t="shared" si="32"/>
        <v>25946639.329999998</v>
      </c>
      <c r="I185" s="87">
        <f>+NFS!D511</f>
        <v>25946639.329999998</v>
      </c>
      <c r="J185" s="87">
        <f t="shared" si="33"/>
        <v>0</v>
      </c>
      <c r="K185" s="87">
        <f t="shared" si="34"/>
        <v>0</v>
      </c>
      <c r="L185" s="210">
        <f t="shared" si="35"/>
        <v>0</v>
      </c>
    </row>
    <row r="186" spans="1:12">
      <c r="A186" s="100" t="s">
        <v>472</v>
      </c>
      <c r="B186" s="79">
        <v>24995192.440000001</v>
      </c>
      <c r="C186" s="77">
        <v>0</v>
      </c>
      <c r="D186" s="79">
        <v>24995192.440000001</v>
      </c>
      <c r="F186" s="87">
        <f>+NFS!J512</f>
        <v>24995192.440000001</v>
      </c>
      <c r="G186" s="87">
        <f t="shared" si="31"/>
        <v>0</v>
      </c>
      <c r="H186" s="87">
        <f t="shared" si="32"/>
        <v>24995192.440000001</v>
      </c>
      <c r="I186" s="87">
        <f>+NFS!D512</f>
        <v>24995192.440000001</v>
      </c>
      <c r="J186" s="87">
        <f t="shared" si="33"/>
        <v>0</v>
      </c>
      <c r="K186" s="87">
        <f t="shared" si="34"/>
        <v>0</v>
      </c>
      <c r="L186" s="210">
        <f t="shared" si="35"/>
        <v>0</v>
      </c>
    </row>
    <row r="187" spans="1:12">
      <c r="A187" s="100" t="s">
        <v>473</v>
      </c>
      <c r="B187" s="79">
        <v>68249357.5</v>
      </c>
      <c r="C187" s="79">
        <v>-660000</v>
      </c>
      <c r="D187" s="79">
        <v>67589357.5</v>
      </c>
      <c r="F187" s="87">
        <f>+NFS!J513</f>
        <v>68249357.5</v>
      </c>
      <c r="G187" s="87">
        <f t="shared" si="31"/>
        <v>-660000</v>
      </c>
      <c r="H187" s="87">
        <f t="shared" si="32"/>
        <v>67589357.5</v>
      </c>
      <c r="I187" s="87">
        <f>+NFS!D513</f>
        <v>67589357.5</v>
      </c>
      <c r="J187" s="87">
        <f t="shared" si="33"/>
        <v>0</v>
      </c>
      <c r="K187" s="87">
        <f t="shared" si="34"/>
        <v>0</v>
      </c>
      <c r="L187" s="210">
        <f t="shared" si="35"/>
        <v>0</v>
      </c>
    </row>
    <row r="188" spans="1:12">
      <c r="A188" s="100" t="s">
        <v>474</v>
      </c>
      <c r="B188" s="79">
        <v>23832135</v>
      </c>
      <c r="C188" s="77">
        <v>0</v>
      </c>
      <c r="D188" s="79">
        <v>23832135</v>
      </c>
      <c r="F188" s="87">
        <f>+NFS!J514</f>
        <v>23832135</v>
      </c>
      <c r="G188" s="87">
        <f t="shared" si="31"/>
        <v>0</v>
      </c>
      <c r="H188" s="87">
        <f t="shared" si="32"/>
        <v>23832135</v>
      </c>
      <c r="I188" s="87">
        <f>+NFS!D514</f>
        <v>23832135</v>
      </c>
      <c r="J188" s="87">
        <f t="shared" si="33"/>
        <v>0</v>
      </c>
      <c r="K188" s="87">
        <f t="shared" si="34"/>
        <v>0</v>
      </c>
      <c r="L188" s="210">
        <f t="shared" si="35"/>
        <v>0</v>
      </c>
    </row>
    <row r="189" spans="1:12">
      <c r="A189" s="100" t="s">
        <v>475</v>
      </c>
      <c r="B189" s="79">
        <v>5165670.46</v>
      </c>
      <c r="C189" s="77">
        <v>0</v>
      </c>
      <c r="D189" s="79">
        <v>5165670.46</v>
      </c>
      <c r="F189" s="87">
        <f>+NFS!J515</f>
        <v>5165670.46</v>
      </c>
      <c r="G189" s="87">
        <f t="shared" si="31"/>
        <v>0</v>
      </c>
      <c r="H189" s="87">
        <f t="shared" si="32"/>
        <v>5165670.46</v>
      </c>
      <c r="I189" s="87">
        <f>+NFS!D515</f>
        <v>5165670.46</v>
      </c>
      <c r="J189" s="87">
        <f t="shared" si="33"/>
        <v>0</v>
      </c>
      <c r="K189" s="87">
        <f t="shared" si="34"/>
        <v>0</v>
      </c>
      <c r="L189" s="210">
        <f t="shared" si="35"/>
        <v>0</v>
      </c>
    </row>
    <row r="190" spans="1:12">
      <c r="A190" s="100" t="s">
        <v>684</v>
      </c>
      <c r="B190" s="79">
        <v>51609000</v>
      </c>
      <c r="C190" s="77">
        <v>0</v>
      </c>
      <c r="D190" s="79">
        <v>51609000</v>
      </c>
      <c r="F190" s="87">
        <f>+NFS!J516</f>
        <v>51609000</v>
      </c>
      <c r="G190" s="87">
        <f t="shared" si="31"/>
        <v>0</v>
      </c>
      <c r="H190" s="87">
        <f t="shared" si="32"/>
        <v>51609000</v>
      </c>
      <c r="I190" s="87">
        <f>+NFS!D516</f>
        <v>51609000</v>
      </c>
      <c r="J190" s="87">
        <f t="shared" si="33"/>
        <v>0</v>
      </c>
      <c r="K190" s="87">
        <f t="shared" si="34"/>
        <v>0</v>
      </c>
      <c r="L190" s="210">
        <f t="shared" si="35"/>
        <v>0</v>
      </c>
    </row>
    <row r="191" spans="1:12">
      <c r="A191" s="100" t="s">
        <v>477</v>
      </c>
      <c r="B191" s="79">
        <v>3575800</v>
      </c>
      <c r="C191" s="79">
        <v>39710</v>
      </c>
      <c r="D191" s="79">
        <v>3615510</v>
      </c>
      <c r="F191" s="87">
        <f>+NFS!J517</f>
        <v>3575800</v>
      </c>
      <c r="G191" s="87">
        <f t="shared" si="31"/>
        <v>39710</v>
      </c>
      <c r="H191" s="87">
        <f t="shared" si="32"/>
        <v>3615510</v>
      </c>
      <c r="I191" s="87">
        <f>+NFS!D517</f>
        <v>3615510</v>
      </c>
      <c r="J191" s="87">
        <f t="shared" si="33"/>
        <v>0</v>
      </c>
      <c r="K191" s="87">
        <f t="shared" si="34"/>
        <v>0</v>
      </c>
      <c r="L191" s="210">
        <f t="shared" si="35"/>
        <v>0</v>
      </c>
    </row>
    <row r="192" spans="1:12">
      <c r="A192" s="100" t="s">
        <v>478</v>
      </c>
      <c r="B192" s="79">
        <v>195567585.66999999</v>
      </c>
      <c r="C192" s="77">
        <v>0</v>
      </c>
      <c r="D192" s="79">
        <v>195567585.66999999</v>
      </c>
      <c r="F192" s="87">
        <f>+NFS!J518</f>
        <v>195567585.66999999</v>
      </c>
      <c r="G192" s="87">
        <f t="shared" si="31"/>
        <v>0</v>
      </c>
      <c r="H192" s="87">
        <f t="shared" si="32"/>
        <v>195567585.66999999</v>
      </c>
      <c r="I192" s="87">
        <f>+NFS!D518</f>
        <v>195567585.66999999</v>
      </c>
      <c r="J192" s="87">
        <f t="shared" si="33"/>
        <v>0</v>
      </c>
      <c r="K192" s="87">
        <f t="shared" si="34"/>
        <v>0</v>
      </c>
      <c r="L192" s="210">
        <f t="shared" si="35"/>
        <v>0</v>
      </c>
    </row>
    <row r="193" spans="1:12">
      <c r="A193" s="100" t="s">
        <v>479</v>
      </c>
      <c r="B193" s="79">
        <v>7723095.7000000002</v>
      </c>
      <c r="C193" s="77">
        <v>-230.97</v>
      </c>
      <c r="D193" s="79">
        <v>7722864.7300000004</v>
      </c>
      <c r="F193" s="87">
        <f>+NFS!J519</f>
        <v>7723095.7000000002</v>
      </c>
      <c r="G193" s="87">
        <f t="shared" si="31"/>
        <v>-230.97</v>
      </c>
      <c r="H193" s="87">
        <f t="shared" si="32"/>
        <v>7722864.7300000004</v>
      </c>
      <c r="I193" s="87">
        <f>+NFS!D519</f>
        <v>7722864.7300000004</v>
      </c>
      <c r="J193" s="87">
        <f t="shared" si="33"/>
        <v>0</v>
      </c>
      <c r="K193" s="87">
        <f t="shared" si="34"/>
        <v>0</v>
      </c>
      <c r="L193" s="210">
        <f t="shared" si="35"/>
        <v>0</v>
      </c>
    </row>
    <row r="194" spans="1:12">
      <c r="A194" s="100" t="s">
        <v>480</v>
      </c>
      <c r="B194" s="79">
        <v>48147243.340000004</v>
      </c>
      <c r="C194" s="77">
        <v>0</v>
      </c>
      <c r="D194" s="79">
        <v>48147243.340000004</v>
      </c>
      <c r="F194" s="87">
        <f>+NFS!J520</f>
        <v>48147243.340000004</v>
      </c>
      <c r="G194" s="87">
        <f t="shared" si="31"/>
        <v>0</v>
      </c>
      <c r="H194" s="87">
        <f t="shared" si="32"/>
        <v>48147243.340000004</v>
      </c>
      <c r="I194" s="87">
        <f>+NFS!D520</f>
        <v>48147243.340000004</v>
      </c>
      <c r="J194" s="87">
        <f t="shared" si="33"/>
        <v>0</v>
      </c>
      <c r="K194" s="87">
        <f t="shared" si="34"/>
        <v>0</v>
      </c>
      <c r="L194" s="210">
        <f t="shared" si="35"/>
        <v>0</v>
      </c>
    </row>
    <row r="195" spans="1:12">
      <c r="A195" s="100" t="s">
        <v>481</v>
      </c>
      <c r="B195" s="79">
        <v>498895770</v>
      </c>
      <c r="C195" s="79">
        <v>-76664</v>
      </c>
      <c r="D195" s="79">
        <v>498819106</v>
      </c>
      <c r="F195" s="87">
        <f>+NFS!J521</f>
        <v>498895770</v>
      </c>
      <c r="G195" s="87">
        <f t="shared" si="31"/>
        <v>-76664</v>
      </c>
      <c r="H195" s="87">
        <f t="shared" si="32"/>
        <v>498819106</v>
      </c>
      <c r="I195" s="87">
        <f>+NFS!D521</f>
        <v>498819106</v>
      </c>
      <c r="J195" s="87">
        <f t="shared" si="33"/>
        <v>0</v>
      </c>
      <c r="K195" s="87">
        <f t="shared" si="34"/>
        <v>0</v>
      </c>
      <c r="L195" s="210">
        <f t="shared" si="35"/>
        <v>0</v>
      </c>
    </row>
    <row r="196" spans="1:12">
      <c r="A196" s="100" t="s">
        <v>482</v>
      </c>
      <c r="B196" s="79">
        <v>44892750</v>
      </c>
      <c r="C196" s="79">
        <v>1000</v>
      </c>
      <c r="D196" s="79">
        <v>44893750</v>
      </c>
      <c r="F196" s="87">
        <f>+NFS!J522</f>
        <v>44892750</v>
      </c>
      <c r="G196" s="87">
        <f t="shared" ref="G196:G258" si="36">+C196</f>
        <v>1000</v>
      </c>
      <c r="H196" s="87">
        <f t="shared" ref="H196:H258" si="37">+F196+G196</f>
        <v>44893750</v>
      </c>
      <c r="I196" s="87">
        <f>+NFS!D522</f>
        <v>44893750</v>
      </c>
      <c r="J196" s="87">
        <f t="shared" ref="J196:J258" si="38">+H196-I196</f>
        <v>0</v>
      </c>
      <c r="K196" s="87">
        <f t="shared" ref="K196:K258" si="39">+B196-F196</f>
        <v>0</v>
      </c>
      <c r="L196" s="210">
        <f t="shared" ref="L196:L258" si="40">+D196-I196</f>
        <v>0</v>
      </c>
    </row>
    <row r="197" spans="1:12">
      <c r="A197" s="100" t="s">
        <v>483</v>
      </c>
      <c r="B197" s="79">
        <v>1744762.63</v>
      </c>
      <c r="C197" s="79">
        <v>-74390.350000000006</v>
      </c>
      <c r="D197" s="79">
        <v>1670372.28</v>
      </c>
      <c r="F197" s="87">
        <f>+NFS!J523</f>
        <v>1744762.63</v>
      </c>
      <c r="G197" s="87">
        <f t="shared" si="36"/>
        <v>-74390.350000000006</v>
      </c>
      <c r="H197" s="87">
        <f t="shared" si="37"/>
        <v>1670372.2799999998</v>
      </c>
      <c r="I197" s="87">
        <f>+NFS!D523</f>
        <v>1670372.28</v>
      </c>
      <c r="J197" s="87">
        <f t="shared" si="38"/>
        <v>0</v>
      </c>
      <c r="K197" s="87">
        <f t="shared" si="39"/>
        <v>0</v>
      </c>
      <c r="L197" s="210">
        <f t="shared" si="40"/>
        <v>0</v>
      </c>
    </row>
    <row r="198" spans="1:12" ht="27.6">
      <c r="A198" s="100" t="s">
        <v>685</v>
      </c>
      <c r="B198" s="79">
        <v>370046211.60000002</v>
      </c>
      <c r="C198" s="77">
        <v>0</v>
      </c>
      <c r="D198" s="79">
        <v>370046211.60000002</v>
      </c>
      <c r="F198" s="87">
        <f>+NFS!J526</f>
        <v>370046211.60000002</v>
      </c>
      <c r="G198" s="87">
        <f t="shared" si="36"/>
        <v>0</v>
      </c>
      <c r="H198" s="87">
        <f t="shared" si="37"/>
        <v>370046211.60000002</v>
      </c>
      <c r="I198" s="87">
        <f>+NFS!D526</f>
        <v>370046211.60000002</v>
      </c>
      <c r="J198" s="87">
        <f t="shared" si="38"/>
        <v>0</v>
      </c>
      <c r="K198" s="87">
        <f t="shared" si="39"/>
        <v>0</v>
      </c>
      <c r="L198" s="210">
        <f t="shared" si="40"/>
        <v>0</v>
      </c>
    </row>
    <row r="199" spans="1:12">
      <c r="A199" s="100" t="s">
        <v>486</v>
      </c>
      <c r="B199" s="79">
        <v>10710643.52</v>
      </c>
      <c r="C199" s="77">
        <v>0</v>
      </c>
      <c r="D199" s="79">
        <v>10710643.52</v>
      </c>
      <c r="F199" s="87">
        <f>+NFS!J527</f>
        <v>10710643.52</v>
      </c>
      <c r="G199" s="87">
        <f t="shared" si="36"/>
        <v>0</v>
      </c>
      <c r="H199" s="87">
        <f t="shared" si="37"/>
        <v>10710643.52</v>
      </c>
      <c r="I199" s="87">
        <f>+NFS!D527</f>
        <v>10710643.52</v>
      </c>
      <c r="J199" s="87">
        <f t="shared" si="38"/>
        <v>0</v>
      </c>
      <c r="K199" s="87">
        <f t="shared" si="39"/>
        <v>0</v>
      </c>
      <c r="L199" s="210">
        <f t="shared" si="40"/>
        <v>0</v>
      </c>
    </row>
    <row r="200" spans="1:12">
      <c r="A200" s="100" t="s">
        <v>487</v>
      </c>
      <c r="B200" s="79">
        <v>43026435.990000002</v>
      </c>
      <c r="C200" s="77">
        <v>0</v>
      </c>
      <c r="D200" s="79">
        <v>43026435.990000002</v>
      </c>
      <c r="F200" s="87">
        <f>+NFS!J528</f>
        <v>43026435.990000002</v>
      </c>
      <c r="G200" s="87">
        <f t="shared" si="36"/>
        <v>0</v>
      </c>
      <c r="H200" s="87">
        <f t="shared" si="37"/>
        <v>43026435.990000002</v>
      </c>
      <c r="I200" s="87">
        <f>+NFS!D528</f>
        <v>43026435.990000002</v>
      </c>
      <c r="J200" s="87">
        <f t="shared" si="38"/>
        <v>0</v>
      </c>
      <c r="K200" s="87">
        <f t="shared" si="39"/>
        <v>0</v>
      </c>
      <c r="L200" s="210">
        <f t="shared" si="40"/>
        <v>0</v>
      </c>
    </row>
    <row r="201" spans="1:12" ht="27.6">
      <c r="A201" s="100" t="s">
        <v>686</v>
      </c>
      <c r="B201" s="79">
        <v>11415185.619999999</v>
      </c>
      <c r="C201" s="77">
        <v>0</v>
      </c>
      <c r="D201" s="79">
        <v>11415185.619999999</v>
      </c>
      <c r="F201" s="87">
        <f>+NFS!J529</f>
        <v>11415185.619999999</v>
      </c>
      <c r="G201" s="87">
        <f t="shared" si="36"/>
        <v>0</v>
      </c>
      <c r="H201" s="87">
        <f t="shared" si="37"/>
        <v>11415185.619999999</v>
      </c>
      <c r="I201" s="87">
        <f>+NFS!D529</f>
        <v>11415185.619999999</v>
      </c>
      <c r="J201" s="87">
        <f t="shared" si="38"/>
        <v>0</v>
      </c>
      <c r="K201" s="87">
        <f t="shared" si="39"/>
        <v>0</v>
      </c>
      <c r="L201" s="210">
        <f t="shared" si="40"/>
        <v>0</v>
      </c>
    </row>
    <row r="202" spans="1:12">
      <c r="A202" s="100" t="s">
        <v>490</v>
      </c>
      <c r="B202" s="79">
        <v>169223331.13</v>
      </c>
      <c r="C202" s="79">
        <v>-7109.5</v>
      </c>
      <c r="D202" s="79">
        <v>169216221.63</v>
      </c>
      <c r="F202" s="87">
        <f>+NFS!J532</f>
        <v>169223331.13</v>
      </c>
      <c r="G202" s="87">
        <f t="shared" si="36"/>
        <v>-7109.5</v>
      </c>
      <c r="H202" s="87">
        <f t="shared" si="37"/>
        <v>169216221.63</v>
      </c>
      <c r="I202" s="87">
        <f>+NFS!D532</f>
        <v>169216221.63</v>
      </c>
      <c r="J202" s="87">
        <f t="shared" si="38"/>
        <v>0</v>
      </c>
      <c r="K202" s="87">
        <f t="shared" si="39"/>
        <v>0</v>
      </c>
      <c r="L202" s="210">
        <f t="shared" si="40"/>
        <v>0</v>
      </c>
    </row>
    <row r="203" spans="1:12" ht="15" thickBot="1">
      <c r="A203" s="100" t="s">
        <v>489</v>
      </c>
      <c r="B203" s="79">
        <v>80187000</v>
      </c>
      <c r="C203" s="77">
        <v>0</v>
      </c>
      <c r="D203" s="79">
        <v>80187000</v>
      </c>
      <c r="F203" s="87">
        <f>+NFS!J533</f>
        <v>80187000</v>
      </c>
      <c r="G203" s="87">
        <f t="shared" si="36"/>
        <v>0</v>
      </c>
      <c r="H203" s="87">
        <f t="shared" si="37"/>
        <v>80187000</v>
      </c>
      <c r="I203" s="87">
        <f>+NFS!D533</f>
        <v>80187000</v>
      </c>
      <c r="J203" s="87">
        <f t="shared" si="38"/>
        <v>0</v>
      </c>
      <c r="K203" s="87">
        <f t="shared" si="39"/>
        <v>0</v>
      </c>
      <c r="L203" s="210">
        <f t="shared" si="40"/>
        <v>0</v>
      </c>
    </row>
    <row r="204" spans="1:12" ht="15" thickBot="1">
      <c r="A204" s="204" t="s">
        <v>687</v>
      </c>
      <c r="B204" s="205">
        <v>5125599192.2399998</v>
      </c>
      <c r="C204" s="205">
        <v>3245833.61</v>
      </c>
      <c r="D204" s="205">
        <v>5128845025.8500004</v>
      </c>
      <c r="L204" s="210"/>
    </row>
    <row r="205" spans="1:12">
      <c r="A205" s="100" t="s">
        <v>688</v>
      </c>
      <c r="B205" s="79">
        <v>5156032</v>
      </c>
      <c r="C205" s="77">
        <v>0</v>
      </c>
      <c r="D205" s="79">
        <v>5156032</v>
      </c>
      <c r="F205" s="87">
        <f>NFS!J552</f>
        <v>5156032</v>
      </c>
      <c r="G205" s="87">
        <f t="shared" si="36"/>
        <v>0</v>
      </c>
      <c r="H205" s="87">
        <f t="shared" si="37"/>
        <v>5156032</v>
      </c>
      <c r="I205" s="87">
        <f>+NFS!D552</f>
        <v>5156032</v>
      </c>
      <c r="J205" s="87">
        <f t="shared" si="38"/>
        <v>0</v>
      </c>
      <c r="K205" s="87">
        <f t="shared" si="39"/>
        <v>0</v>
      </c>
      <c r="L205" s="210">
        <f t="shared" si="40"/>
        <v>0</v>
      </c>
    </row>
    <row r="206" spans="1:12">
      <c r="A206" s="100" t="s">
        <v>689</v>
      </c>
      <c r="B206" s="79">
        <v>9205098.3900000006</v>
      </c>
      <c r="C206" s="77">
        <v>0</v>
      </c>
      <c r="D206" s="79">
        <v>9205098.3900000006</v>
      </c>
      <c r="F206" s="87">
        <f>NFS!J555</f>
        <v>9205098.3900000006</v>
      </c>
      <c r="G206" s="87">
        <f t="shared" si="36"/>
        <v>0</v>
      </c>
      <c r="H206" s="87">
        <f t="shared" si="37"/>
        <v>9205098.3900000006</v>
      </c>
      <c r="I206" s="87">
        <f>+NFS!D555</f>
        <v>9205098.3900000006</v>
      </c>
      <c r="J206" s="87">
        <f t="shared" si="38"/>
        <v>0</v>
      </c>
      <c r="K206" s="87">
        <f t="shared" si="39"/>
        <v>0</v>
      </c>
      <c r="L206" s="210">
        <f t="shared" si="40"/>
        <v>0</v>
      </c>
    </row>
    <row r="207" spans="1:12">
      <c r="A207" s="100" t="s">
        <v>497</v>
      </c>
      <c r="B207" s="79">
        <v>63177810.890000001</v>
      </c>
      <c r="C207" s="77">
        <v>0</v>
      </c>
      <c r="D207" s="79">
        <v>63177810.890000001</v>
      </c>
      <c r="F207" s="87">
        <f>NFS!J557</f>
        <v>63177810.890000001</v>
      </c>
      <c r="G207" s="87">
        <f t="shared" si="36"/>
        <v>0</v>
      </c>
      <c r="H207" s="87">
        <f t="shared" si="37"/>
        <v>63177810.890000001</v>
      </c>
      <c r="I207" s="87">
        <f>+NFS!D557</f>
        <v>63177810.890000001</v>
      </c>
      <c r="J207" s="87">
        <f t="shared" si="38"/>
        <v>0</v>
      </c>
      <c r="K207" s="87">
        <f t="shared" si="39"/>
        <v>0</v>
      </c>
      <c r="L207" s="210">
        <f t="shared" si="40"/>
        <v>0</v>
      </c>
    </row>
    <row r="208" spans="1:12">
      <c r="A208" s="100" t="s">
        <v>257</v>
      </c>
      <c r="B208" s="79">
        <v>3401883.5</v>
      </c>
      <c r="C208" s="77">
        <v>0</v>
      </c>
      <c r="D208" s="79">
        <v>3401883.5</v>
      </c>
      <c r="F208" s="87">
        <f>NFS!J558</f>
        <v>3401883.5</v>
      </c>
      <c r="G208" s="87">
        <f t="shared" si="36"/>
        <v>0</v>
      </c>
      <c r="H208" s="87">
        <f t="shared" si="37"/>
        <v>3401883.5</v>
      </c>
      <c r="I208" s="87">
        <f>+NFS!D558</f>
        <v>3401883.5</v>
      </c>
      <c r="J208" s="87">
        <f t="shared" si="38"/>
        <v>0</v>
      </c>
      <c r="K208" s="87">
        <f t="shared" si="39"/>
        <v>0</v>
      </c>
      <c r="L208" s="210">
        <f t="shared" si="40"/>
        <v>0</v>
      </c>
    </row>
    <row r="209" spans="1:12">
      <c r="A209" s="100" t="s">
        <v>258</v>
      </c>
      <c r="B209" s="79">
        <v>20000</v>
      </c>
      <c r="C209" s="77">
        <v>0</v>
      </c>
      <c r="D209" s="79">
        <v>20000</v>
      </c>
      <c r="F209" s="87">
        <f>NFS!J559</f>
        <v>20000</v>
      </c>
      <c r="G209" s="87">
        <f t="shared" si="36"/>
        <v>0</v>
      </c>
      <c r="H209" s="87">
        <f t="shared" si="37"/>
        <v>20000</v>
      </c>
      <c r="I209" s="87">
        <f>+NFS!D559</f>
        <v>20000</v>
      </c>
      <c r="J209" s="87">
        <f t="shared" si="38"/>
        <v>0</v>
      </c>
      <c r="K209" s="87">
        <f t="shared" si="39"/>
        <v>0</v>
      </c>
      <c r="L209" s="210">
        <f t="shared" si="40"/>
        <v>0</v>
      </c>
    </row>
    <row r="210" spans="1:12" ht="27.6">
      <c r="A210" s="100" t="s">
        <v>690</v>
      </c>
      <c r="B210" s="79">
        <v>1689446</v>
      </c>
      <c r="C210" s="77">
        <v>0</v>
      </c>
      <c r="D210" s="79">
        <v>1689446</v>
      </c>
      <c r="F210" s="87">
        <f>NFS!J560</f>
        <v>1689446</v>
      </c>
      <c r="G210" s="87">
        <f t="shared" si="36"/>
        <v>0</v>
      </c>
      <c r="H210" s="87">
        <f t="shared" si="37"/>
        <v>1689446</v>
      </c>
      <c r="I210" s="87">
        <f>+NFS!D560</f>
        <v>1689446</v>
      </c>
      <c r="J210" s="87">
        <f t="shared" si="38"/>
        <v>0</v>
      </c>
      <c r="K210" s="87">
        <f t="shared" si="39"/>
        <v>0</v>
      </c>
      <c r="L210" s="210">
        <f t="shared" si="40"/>
        <v>0</v>
      </c>
    </row>
    <row r="211" spans="1:12">
      <c r="A211" s="100" t="s">
        <v>260</v>
      </c>
      <c r="B211" s="79">
        <v>453980515.14999998</v>
      </c>
      <c r="C211" s="77">
        <v>0</v>
      </c>
      <c r="D211" s="79">
        <v>453980515.14999998</v>
      </c>
      <c r="F211" s="87">
        <f>NFS!J561</f>
        <v>453980515.14999998</v>
      </c>
      <c r="G211" s="87">
        <f t="shared" si="36"/>
        <v>0</v>
      </c>
      <c r="H211" s="87">
        <f t="shared" si="37"/>
        <v>453980515.14999998</v>
      </c>
      <c r="I211" s="87">
        <f>+NFS!D561</f>
        <v>453980515.14999998</v>
      </c>
      <c r="J211" s="87">
        <f t="shared" si="38"/>
        <v>0</v>
      </c>
      <c r="K211" s="87">
        <f t="shared" si="39"/>
        <v>0</v>
      </c>
      <c r="L211" s="210">
        <f t="shared" si="40"/>
        <v>0</v>
      </c>
    </row>
    <row r="212" spans="1:12">
      <c r="A212" s="100" t="s">
        <v>261</v>
      </c>
      <c r="B212" s="79">
        <v>3672998178.5999999</v>
      </c>
      <c r="C212" s="77">
        <v>0</v>
      </c>
      <c r="D212" s="79">
        <v>3672998178.5999999</v>
      </c>
      <c r="F212" s="87">
        <f>NFS!J562</f>
        <v>3672998178.5999999</v>
      </c>
      <c r="G212" s="87">
        <f t="shared" si="36"/>
        <v>0</v>
      </c>
      <c r="H212" s="87">
        <f t="shared" si="37"/>
        <v>3672998178.5999999</v>
      </c>
      <c r="I212" s="87">
        <f>+NFS!D562</f>
        <v>3672998178.5999999</v>
      </c>
      <c r="J212" s="87">
        <f t="shared" si="38"/>
        <v>0</v>
      </c>
      <c r="K212" s="87">
        <f t="shared" si="39"/>
        <v>0</v>
      </c>
      <c r="L212" s="210">
        <f t="shared" si="40"/>
        <v>0</v>
      </c>
    </row>
    <row r="213" spans="1:12">
      <c r="A213" s="100" t="s">
        <v>262</v>
      </c>
      <c r="B213" s="79">
        <v>1195128344.5599999</v>
      </c>
      <c r="C213" s="77">
        <v>0</v>
      </c>
      <c r="D213" s="79">
        <v>1195128344.5599999</v>
      </c>
      <c r="F213" s="87">
        <f>NFS!J563</f>
        <v>1195128344.5599999</v>
      </c>
      <c r="G213" s="87">
        <f t="shared" si="36"/>
        <v>0</v>
      </c>
      <c r="H213" s="87">
        <f t="shared" si="37"/>
        <v>1195128344.5599999</v>
      </c>
      <c r="I213" s="87">
        <f>+NFS!D563</f>
        <v>1195128344.5599999</v>
      </c>
      <c r="J213" s="87">
        <f t="shared" si="38"/>
        <v>0</v>
      </c>
      <c r="K213" s="87">
        <f t="shared" si="39"/>
        <v>0</v>
      </c>
      <c r="L213" s="210">
        <f t="shared" si="40"/>
        <v>0</v>
      </c>
    </row>
    <row r="214" spans="1:12" ht="27.6">
      <c r="A214" s="100" t="s">
        <v>691</v>
      </c>
      <c r="B214" s="79">
        <v>914184536.25999999</v>
      </c>
      <c r="C214" s="79">
        <v>2793363</v>
      </c>
      <c r="D214" s="79">
        <v>916977899.25999999</v>
      </c>
      <c r="F214" s="87">
        <f>NFS!J564</f>
        <v>914184536.25999999</v>
      </c>
      <c r="G214" s="87">
        <f t="shared" si="36"/>
        <v>2793363</v>
      </c>
      <c r="H214" s="87">
        <f t="shared" si="37"/>
        <v>916977899.25999999</v>
      </c>
      <c r="I214" s="87">
        <f>+NFS!D564</f>
        <v>916977899.25999999</v>
      </c>
      <c r="J214" s="87">
        <f t="shared" si="38"/>
        <v>0</v>
      </c>
      <c r="K214" s="87">
        <f t="shared" si="39"/>
        <v>0</v>
      </c>
      <c r="L214" s="210">
        <f t="shared" si="40"/>
        <v>0</v>
      </c>
    </row>
    <row r="215" spans="1:12">
      <c r="A215" s="100" t="s">
        <v>692</v>
      </c>
      <c r="B215" s="79">
        <v>41168504</v>
      </c>
      <c r="C215" s="77">
        <v>0</v>
      </c>
      <c r="D215" s="79">
        <v>41168504</v>
      </c>
      <c r="F215" s="87">
        <f>NFS!J565</f>
        <v>41168504</v>
      </c>
      <c r="G215" s="87">
        <f t="shared" si="36"/>
        <v>0</v>
      </c>
      <c r="H215" s="87">
        <f t="shared" si="37"/>
        <v>41168504</v>
      </c>
      <c r="I215" s="87">
        <f>+NFS!D565</f>
        <v>41168504</v>
      </c>
      <c r="J215" s="87">
        <f t="shared" si="38"/>
        <v>0</v>
      </c>
      <c r="K215" s="87">
        <f t="shared" si="39"/>
        <v>0</v>
      </c>
      <c r="L215" s="210">
        <f t="shared" si="40"/>
        <v>0</v>
      </c>
    </row>
    <row r="216" spans="1:12" ht="27.6">
      <c r="A216" s="100" t="s">
        <v>693</v>
      </c>
      <c r="B216" s="79">
        <v>11521400</v>
      </c>
      <c r="C216" s="79">
        <v>196500</v>
      </c>
      <c r="D216" s="79">
        <v>11717900</v>
      </c>
      <c r="F216" s="87">
        <f>NFS!J566</f>
        <v>11521400</v>
      </c>
      <c r="G216" s="87">
        <f t="shared" si="36"/>
        <v>196500</v>
      </c>
      <c r="H216" s="87">
        <f t="shared" si="37"/>
        <v>11717900</v>
      </c>
      <c r="I216" s="87">
        <f>+NFS!D566</f>
        <v>11717900</v>
      </c>
      <c r="J216" s="87">
        <f t="shared" si="38"/>
        <v>0</v>
      </c>
      <c r="K216" s="87">
        <f t="shared" si="39"/>
        <v>0</v>
      </c>
      <c r="L216" s="210">
        <f t="shared" si="40"/>
        <v>0</v>
      </c>
    </row>
    <row r="217" spans="1:12" ht="27.6">
      <c r="A217" s="100" t="s">
        <v>694</v>
      </c>
      <c r="B217" s="79">
        <v>1363649150.3699999</v>
      </c>
      <c r="C217" s="79">
        <v>296279742</v>
      </c>
      <c r="D217" s="79">
        <v>1659928892.3699999</v>
      </c>
      <c r="F217" s="87">
        <f>NFS!J567</f>
        <v>1363649150.3699999</v>
      </c>
      <c r="G217" s="87">
        <f t="shared" si="36"/>
        <v>296279742</v>
      </c>
      <c r="H217" s="87">
        <f t="shared" si="37"/>
        <v>1659928892.3699999</v>
      </c>
      <c r="I217" s="87">
        <f>+NFS!D567</f>
        <v>1659928892.3699999</v>
      </c>
      <c r="J217" s="87">
        <f t="shared" si="38"/>
        <v>0</v>
      </c>
      <c r="K217" s="87">
        <f t="shared" si="39"/>
        <v>0</v>
      </c>
      <c r="L217" s="210">
        <f t="shared" si="40"/>
        <v>0</v>
      </c>
    </row>
    <row r="218" spans="1:12">
      <c r="A218" s="100" t="s">
        <v>499</v>
      </c>
      <c r="B218" s="79">
        <v>183469779.83000001</v>
      </c>
      <c r="C218" s="77">
        <v>0</v>
      </c>
      <c r="D218" s="79">
        <v>183469779.83000001</v>
      </c>
      <c r="F218" s="87">
        <f>NFS!J570</f>
        <v>183469779.83000001</v>
      </c>
      <c r="G218" s="87">
        <f t="shared" si="36"/>
        <v>0</v>
      </c>
      <c r="H218" s="87">
        <f t="shared" si="37"/>
        <v>183469779.83000001</v>
      </c>
      <c r="I218" s="87">
        <f>+NFS!D570</f>
        <v>183469779.83000001</v>
      </c>
      <c r="J218" s="87">
        <f t="shared" si="38"/>
        <v>0</v>
      </c>
      <c r="K218" s="87">
        <f t="shared" si="39"/>
        <v>0</v>
      </c>
      <c r="L218" s="210">
        <f t="shared" si="40"/>
        <v>0</v>
      </c>
    </row>
    <row r="219" spans="1:12">
      <c r="A219" s="100" t="s">
        <v>500</v>
      </c>
      <c r="B219" s="79">
        <v>384461658.38</v>
      </c>
      <c r="C219" s="79">
        <v>-187236.96</v>
      </c>
      <c r="D219" s="79">
        <v>384274421.42000002</v>
      </c>
      <c r="F219" s="87">
        <f>NFS!J571</f>
        <v>384461658.38</v>
      </c>
      <c r="G219" s="87">
        <f t="shared" si="36"/>
        <v>-187236.96</v>
      </c>
      <c r="H219" s="87">
        <f t="shared" si="37"/>
        <v>384274421.42000002</v>
      </c>
      <c r="I219" s="87">
        <f>+NFS!D571</f>
        <v>384274421.42000002</v>
      </c>
      <c r="J219" s="87">
        <f t="shared" si="38"/>
        <v>0</v>
      </c>
      <c r="K219" s="87">
        <f t="shared" si="39"/>
        <v>0</v>
      </c>
      <c r="L219" s="210">
        <f t="shared" si="40"/>
        <v>0</v>
      </c>
    </row>
    <row r="220" spans="1:12">
      <c r="A220" s="100" t="s">
        <v>695</v>
      </c>
      <c r="B220" s="79">
        <v>331916</v>
      </c>
      <c r="C220" s="77">
        <v>0</v>
      </c>
      <c r="D220" s="79">
        <v>331916</v>
      </c>
      <c r="F220" s="87">
        <f>+NFS!J574</f>
        <v>331916</v>
      </c>
      <c r="G220" s="87">
        <f t="shared" si="36"/>
        <v>0</v>
      </c>
      <c r="H220" s="87">
        <f t="shared" si="37"/>
        <v>331916</v>
      </c>
      <c r="I220" s="87">
        <f>+NFS!D574</f>
        <v>331916</v>
      </c>
      <c r="J220" s="87">
        <f t="shared" si="38"/>
        <v>0</v>
      </c>
      <c r="K220" s="87">
        <f t="shared" si="39"/>
        <v>0</v>
      </c>
      <c r="L220" s="210">
        <f t="shared" si="40"/>
        <v>0</v>
      </c>
    </row>
    <row r="221" spans="1:12">
      <c r="A221" s="100" t="s">
        <v>503</v>
      </c>
      <c r="B221" s="79">
        <v>17662936.059999999</v>
      </c>
      <c r="C221" s="77">
        <v>0</v>
      </c>
      <c r="D221" s="79">
        <v>17662936.059999999</v>
      </c>
      <c r="F221" s="87">
        <f>+NFS!J575</f>
        <v>17662936.059999999</v>
      </c>
      <c r="G221" s="87">
        <f t="shared" si="36"/>
        <v>0</v>
      </c>
      <c r="H221" s="87">
        <f t="shared" si="37"/>
        <v>17662936.059999999</v>
      </c>
      <c r="I221" s="87">
        <f>+NFS!D575</f>
        <v>17662936.059999999</v>
      </c>
      <c r="J221" s="87">
        <f t="shared" si="38"/>
        <v>0</v>
      </c>
      <c r="K221" s="87">
        <f t="shared" si="39"/>
        <v>0</v>
      </c>
      <c r="L221" s="210">
        <f t="shared" si="40"/>
        <v>0</v>
      </c>
    </row>
    <row r="222" spans="1:12">
      <c r="A222" s="100" t="s">
        <v>504</v>
      </c>
      <c r="B222" s="79">
        <v>25120453.210000001</v>
      </c>
      <c r="C222" s="77">
        <v>0</v>
      </c>
      <c r="D222" s="79">
        <v>25120453.210000001</v>
      </c>
      <c r="F222" s="87">
        <f>+NFS!J576</f>
        <v>25120453.210000001</v>
      </c>
      <c r="G222" s="87">
        <f t="shared" si="36"/>
        <v>0</v>
      </c>
      <c r="H222" s="87">
        <f t="shared" si="37"/>
        <v>25120453.210000001</v>
      </c>
      <c r="I222" s="87">
        <f>+NFS!D576</f>
        <v>25120453.210000001</v>
      </c>
      <c r="J222" s="87">
        <f t="shared" si="38"/>
        <v>0</v>
      </c>
      <c r="K222" s="87">
        <f t="shared" si="39"/>
        <v>0</v>
      </c>
      <c r="L222" s="210">
        <f t="shared" si="40"/>
        <v>0</v>
      </c>
    </row>
    <row r="223" spans="1:12">
      <c r="A223" s="100" t="s">
        <v>508</v>
      </c>
      <c r="B223" s="79">
        <v>276000</v>
      </c>
      <c r="C223" s="77">
        <v>0</v>
      </c>
      <c r="D223" s="79">
        <v>276000</v>
      </c>
      <c r="F223" s="87">
        <f>+NFS!J581</f>
        <v>276000</v>
      </c>
      <c r="G223" s="87">
        <f t="shared" si="36"/>
        <v>0</v>
      </c>
      <c r="H223" s="87">
        <f t="shared" si="37"/>
        <v>276000</v>
      </c>
      <c r="I223" s="87">
        <f>+NFS!D581</f>
        <v>276000</v>
      </c>
      <c r="J223" s="87">
        <f t="shared" si="38"/>
        <v>0</v>
      </c>
      <c r="K223" s="87">
        <f t="shared" si="39"/>
        <v>0</v>
      </c>
      <c r="L223" s="210">
        <f t="shared" si="40"/>
        <v>0</v>
      </c>
    </row>
    <row r="224" spans="1:12">
      <c r="A224" s="100" t="s">
        <v>512</v>
      </c>
      <c r="B224" s="79">
        <v>120000000</v>
      </c>
      <c r="C224" s="77">
        <v>0</v>
      </c>
      <c r="D224" s="79">
        <v>120000000</v>
      </c>
      <c r="F224" s="87">
        <f>+NFS!J586</f>
        <v>120000000</v>
      </c>
      <c r="G224" s="87">
        <f t="shared" si="36"/>
        <v>0</v>
      </c>
      <c r="H224" s="87">
        <f t="shared" si="37"/>
        <v>120000000</v>
      </c>
      <c r="I224" s="87">
        <f>+NFS!D586</f>
        <v>120000000</v>
      </c>
      <c r="J224" s="87">
        <f t="shared" si="38"/>
        <v>0</v>
      </c>
      <c r="K224" s="87">
        <f t="shared" si="39"/>
        <v>0</v>
      </c>
      <c r="L224" s="210">
        <f t="shared" si="40"/>
        <v>0</v>
      </c>
    </row>
    <row r="225" spans="1:12" ht="27.6">
      <c r="A225" s="100" t="s">
        <v>513</v>
      </c>
      <c r="B225" s="79">
        <v>72981414.959999993</v>
      </c>
      <c r="C225" s="77">
        <v>0</v>
      </c>
      <c r="D225" s="79">
        <v>72981414.959999993</v>
      </c>
      <c r="F225" s="87">
        <f>+NFS!J588</f>
        <v>72981414.959999993</v>
      </c>
      <c r="G225" s="87">
        <f t="shared" si="36"/>
        <v>0</v>
      </c>
      <c r="H225" s="87">
        <f t="shared" si="37"/>
        <v>72981414.959999993</v>
      </c>
      <c r="I225" s="87">
        <f>+NFS!D588</f>
        <v>72981414.959999993</v>
      </c>
      <c r="J225" s="87">
        <f t="shared" si="38"/>
        <v>0</v>
      </c>
      <c r="K225" s="87">
        <f t="shared" si="39"/>
        <v>0</v>
      </c>
      <c r="L225" s="210">
        <f t="shared" si="40"/>
        <v>0</v>
      </c>
    </row>
    <row r="226" spans="1:12">
      <c r="A226" s="100" t="s">
        <v>515</v>
      </c>
      <c r="B226" s="79">
        <v>2771298.4</v>
      </c>
      <c r="C226" s="77">
        <v>0</v>
      </c>
      <c r="D226" s="79">
        <v>2771298.4</v>
      </c>
      <c r="F226" s="87">
        <f>NFS!J591</f>
        <v>2771298.4</v>
      </c>
      <c r="G226" s="87">
        <f t="shared" si="36"/>
        <v>0</v>
      </c>
      <c r="H226" s="87">
        <f t="shared" si="37"/>
        <v>2771298.4</v>
      </c>
      <c r="I226" s="87">
        <f>+NFS!D591</f>
        <v>2771298.4</v>
      </c>
      <c r="J226" s="87">
        <f t="shared" si="38"/>
        <v>0</v>
      </c>
      <c r="K226" s="87">
        <f t="shared" si="39"/>
        <v>0</v>
      </c>
      <c r="L226" s="210">
        <f t="shared" si="40"/>
        <v>0</v>
      </c>
    </row>
    <row r="227" spans="1:12">
      <c r="A227" s="100" t="s">
        <v>516</v>
      </c>
      <c r="B227" s="79">
        <v>67035703.329999998</v>
      </c>
      <c r="C227" s="77">
        <v>0</v>
      </c>
      <c r="D227" s="79">
        <v>67035703.329999998</v>
      </c>
      <c r="F227" s="87">
        <f>NFS!J592</f>
        <v>67035703.329999998</v>
      </c>
      <c r="G227" s="87">
        <f t="shared" si="36"/>
        <v>0</v>
      </c>
      <c r="H227" s="87">
        <f t="shared" si="37"/>
        <v>67035703.329999998</v>
      </c>
      <c r="I227" s="87">
        <f>+NFS!D592</f>
        <v>67035703.329999998</v>
      </c>
      <c r="J227" s="87">
        <f t="shared" si="38"/>
        <v>0</v>
      </c>
      <c r="K227" s="87">
        <f t="shared" si="39"/>
        <v>0</v>
      </c>
      <c r="L227" s="210">
        <f t="shared" si="40"/>
        <v>0</v>
      </c>
    </row>
    <row r="228" spans="1:12">
      <c r="A228" s="100" t="s">
        <v>517</v>
      </c>
      <c r="B228" s="79">
        <v>386707531.69999999</v>
      </c>
      <c r="C228" s="77">
        <v>0</v>
      </c>
      <c r="D228" s="79">
        <v>386707531.69999999</v>
      </c>
      <c r="F228" s="87">
        <f>NFS!J593</f>
        <v>386707531.69999999</v>
      </c>
      <c r="G228" s="87">
        <f t="shared" si="36"/>
        <v>0</v>
      </c>
      <c r="H228" s="87">
        <f t="shared" si="37"/>
        <v>386707531.69999999</v>
      </c>
      <c r="I228" s="87">
        <f>+NFS!D593</f>
        <v>386707531.69999999</v>
      </c>
      <c r="J228" s="87">
        <f t="shared" si="38"/>
        <v>0</v>
      </c>
      <c r="K228" s="87">
        <f t="shared" si="39"/>
        <v>0</v>
      </c>
      <c r="L228" s="210">
        <f t="shared" si="40"/>
        <v>0</v>
      </c>
    </row>
    <row r="229" spans="1:12">
      <c r="A229" s="100" t="s">
        <v>519</v>
      </c>
      <c r="B229" s="79">
        <v>942893453.51999998</v>
      </c>
      <c r="C229" s="77">
        <v>0</v>
      </c>
      <c r="D229" s="79">
        <v>942893453.51999998</v>
      </c>
      <c r="F229" s="87">
        <f>+NFS!J596</f>
        <v>942893453.51999998</v>
      </c>
      <c r="G229" s="87">
        <f t="shared" si="36"/>
        <v>0</v>
      </c>
      <c r="H229" s="87">
        <f t="shared" si="37"/>
        <v>942893453.51999998</v>
      </c>
      <c r="I229" s="87">
        <f>NFS!D596</f>
        <v>942893453.51999998</v>
      </c>
      <c r="J229" s="87">
        <f t="shared" si="38"/>
        <v>0</v>
      </c>
      <c r="K229" s="87">
        <f t="shared" si="39"/>
        <v>0</v>
      </c>
      <c r="L229" s="210">
        <f t="shared" si="40"/>
        <v>0</v>
      </c>
    </row>
    <row r="230" spans="1:12">
      <c r="A230" s="100" t="s">
        <v>520</v>
      </c>
      <c r="B230" s="79">
        <v>80648379.799999997</v>
      </c>
      <c r="C230" s="77">
        <v>0</v>
      </c>
      <c r="D230" s="79">
        <v>80648379.799999997</v>
      </c>
      <c r="F230" s="87">
        <f>+NFS!J597</f>
        <v>80648379.799999997</v>
      </c>
      <c r="G230" s="87">
        <f t="shared" si="36"/>
        <v>0</v>
      </c>
      <c r="H230" s="87">
        <f t="shared" si="37"/>
        <v>80648379.799999997</v>
      </c>
      <c r="I230" s="87">
        <f>NFS!D597</f>
        <v>80648379.799999997</v>
      </c>
      <c r="J230" s="87">
        <f t="shared" si="38"/>
        <v>0</v>
      </c>
      <c r="K230" s="87">
        <f t="shared" si="39"/>
        <v>0</v>
      </c>
      <c r="L230" s="210">
        <f t="shared" si="40"/>
        <v>0</v>
      </c>
    </row>
    <row r="231" spans="1:12">
      <c r="A231" s="100" t="s">
        <v>521</v>
      </c>
      <c r="B231" s="79">
        <v>108804269.67</v>
      </c>
      <c r="C231" s="77">
        <v>0</v>
      </c>
      <c r="D231" s="79">
        <v>108804269.67</v>
      </c>
      <c r="F231" s="87">
        <f>+NFS!J598</f>
        <v>108804269.67</v>
      </c>
      <c r="G231" s="87">
        <f t="shared" si="36"/>
        <v>0</v>
      </c>
      <c r="H231" s="87">
        <f t="shared" si="37"/>
        <v>108804269.67</v>
      </c>
      <c r="I231" s="87">
        <f>NFS!D598</f>
        <v>108804269.67</v>
      </c>
      <c r="J231" s="87">
        <f t="shared" si="38"/>
        <v>0</v>
      </c>
      <c r="K231" s="87">
        <f t="shared" si="39"/>
        <v>0</v>
      </c>
      <c r="L231" s="210">
        <f t="shared" si="40"/>
        <v>0</v>
      </c>
    </row>
    <row r="232" spans="1:12">
      <c r="A232" s="100" t="s">
        <v>522</v>
      </c>
      <c r="B232" s="79">
        <v>1057446342.24</v>
      </c>
      <c r="C232" s="79">
        <v>152997.6</v>
      </c>
      <c r="D232" s="79">
        <v>1057599339.84</v>
      </c>
      <c r="F232" s="87">
        <f>+NFS!J599</f>
        <v>1057446342.24</v>
      </c>
      <c r="G232" s="87">
        <f t="shared" si="36"/>
        <v>152997.6</v>
      </c>
      <c r="H232" s="87">
        <f t="shared" si="37"/>
        <v>1057599339.84</v>
      </c>
      <c r="I232" s="87">
        <f>NFS!D599</f>
        <v>1057599339.84</v>
      </c>
      <c r="J232" s="87">
        <f t="shared" si="38"/>
        <v>0</v>
      </c>
      <c r="K232" s="87">
        <f t="shared" si="39"/>
        <v>0</v>
      </c>
      <c r="L232" s="210">
        <f t="shared" si="40"/>
        <v>0</v>
      </c>
    </row>
    <row r="233" spans="1:12" ht="27.6">
      <c r="A233" s="100" t="s">
        <v>696</v>
      </c>
      <c r="B233" s="79">
        <v>163089409.50999999</v>
      </c>
      <c r="C233" s="77">
        <v>0</v>
      </c>
      <c r="D233" s="79">
        <v>163089409.50999999</v>
      </c>
      <c r="F233" s="87">
        <f>+NFS!J602</f>
        <v>163089409.50999999</v>
      </c>
      <c r="G233" s="87">
        <f t="shared" si="36"/>
        <v>0</v>
      </c>
      <c r="H233" s="87">
        <f t="shared" si="37"/>
        <v>163089409.50999999</v>
      </c>
      <c r="I233" s="87">
        <f>NFS!D602</f>
        <v>163089409.50999999</v>
      </c>
      <c r="J233" s="87">
        <f t="shared" si="38"/>
        <v>0</v>
      </c>
      <c r="K233" s="87">
        <f t="shared" si="39"/>
        <v>0</v>
      </c>
      <c r="L233" s="210">
        <f t="shared" si="40"/>
        <v>0</v>
      </c>
    </row>
    <row r="234" spans="1:12" ht="27.6">
      <c r="A234" s="100" t="s">
        <v>697</v>
      </c>
      <c r="B234" s="79">
        <v>14224502.75</v>
      </c>
      <c r="C234" s="79">
        <v>8774230.1899999995</v>
      </c>
      <c r="D234" s="79">
        <v>22998732.940000001</v>
      </c>
      <c r="F234" s="87">
        <f>+NFS!J603</f>
        <v>14224502.75</v>
      </c>
      <c r="G234" s="87">
        <f t="shared" si="36"/>
        <v>8774230.1899999995</v>
      </c>
      <c r="H234" s="87">
        <f t="shared" si="37"/>
        <v>22998732.939999998</v>
      </c>
      <c r="I234" s="87">
        <f>NFS!D603</f>
        <v>22998732.940000001</v>
      </c>
      <c r="J234" s="87">
        <f t="shared" si="38"/>
        <v>0</v>
      </c>
      <c r="K234" s="87">
        <f t="shared" si="39"/>
        <v>0</v>
      </c>
      <c r="L234" s="210">
        <f t="shared" si="40"/>
        <v>0</v>
      </c>
    </row>
    <row r="235" spans="1:12" ht="27.6">
      <c r="A235" s="100" t="s">
        <v>698</v>
      </c>
      <c r="B235" s="79">
        <v>13816855.18</v>
      </c>
      <c r="C235" s="77">
        <v>0</v>
      </c>
      <c r="D235" s="79">
        <v>13816855.18</v>
      </c>
      <c r="F235" s="87">
        <f>+NFS!J604</f>
        <v>13816855.18</v>
      </c>
      <c r="G235" s="87">
        <f t="shared" si="36"/>
        <v>0</v>
      </c>
      <c r="H235" s="87">
        <f t="shared" si="37"/>
        <v>13816855.18</v>
      </c>
      <c r="I235" s="87">
        <f>NFS!D604</f>
        <v>13816855.18</v>
      </c>
      <c r="J235" s="87">
        <f t="shared" si="38"/>
        <v>0</v>
      </c>
      <c r="K235" s="87">
        <f t="shared" si="39"/>
        <v>0</v>
      </c>
      <c r="L235" s="210">
        <f t="shared" si="40"/>
        <v>0</v>
      </c>
    </row>
    <row r="236" spans="1:12" ht="27.6">
      <c r="A236" s="100" t="s">
        <v>699</v>
      </c>
      <c r="B236" s="79">
        <v>2317029</v>
      </c>
      <c r="C236" s="212">
        <v>0</v>
      </c>
      <c r="D236" s="79">
        <v>2317029</v>
      </c>
      <c r="F236" s="87">
        <f>+NFS!J605</f>
        <v>2317029</v>
      </c>
      <c r="G236" s="87">
        <f t="shared" si="36"/>
        <v>0</v>
      </c>
      <c r="H236" s="87">
        <f t="shared" si="37"/>
        <v>2317029</v>
      </c>
      <c r="I236" s="87">
        <f>NFS!D605</f>
        <v>2317029</v>
      </c>
      <c r="J236" s="87">
        <f t="shared" si="38"/>
        <v>0</v>
      </c>
      <c r="K236" s="87">
        <f t="shared" si="39"/>
        <v>0</v>
      </c>
      <c r="L236" s="210">
        <f t="shared" si="40"/>
        <v>0</v>
      </c>
    </row>
    <row r="237" spans="1:12">
      <c r="A237" s="100" t="s">
        <v>531</v>
      </c>
      <c r="B237" s="79">
        <v>34264704.969999999</v>
      </c>
      <c r="C237" s="77">
        <v>0</v>
      </c>
      <c r="D237" s="79">
        <v>34264704.969999999</v>
      </c>
      <c r="F237" s="87">
        <f>+NFS!J610</f>
        <v>34264704.969999999</v>
      </c>
      <c r="G237" s="87">
        <f t="shared" si="36"/>
        <v>0</v>
      </c>
      <c r="H237" s="87">
        <f t="shared" si="37"/>
        <v>34264704.969999999</v>
      </c>
      <c r="I237" s="87">
        <f>NFS!D610</f>
        <v>34264704.969999999</v>
      </c>
      <c r="J237" s="87">
        <f t="shared" si="38"/>
        <v>0</v>
      </c>
      <c r="K237" s="87">
        <f t="shared" si="39"/>
        <v>0</v>
      </c>
      <c r="L237" s="210">
        <f t="shared" si="40"/>
        <v>0</v>
      </c>
    </row>
    <row r="238" spans="1:12">
      <c r="A238" s="100" t="s">
        <v>532</v>
      </c>
      <c r="B238" s="79">
        <v>1318599.75</v>
      </c>
      <c r="C238" s="79">
        <v>-105000</v>
      </c>
      <c r="D238" s="79">
        <v>1213599.75</v>
      </c>
      <c r="F238" s="87">
        <f>+NFS!J611</f>
        <v>1318599.75</v>
      </c>
      <c r="G238" s="87">
        <f t="shared" si="36"/>
        <v>-105000</v>
      </c>
      <c r="H238" s="87">
        <f t="shared" si="37"/>
        <v>1213599.75</v>
      </c>
      <c r="I238" s="87">
        <f>NFS!D611</f>
        <v>1213599.75</v>
      </c>
      <c r="J238" s="87">
        <f t="shared" si="38"/>
        <v>0</v>
      </c>
      <c r="K238" s="87">
        <f t="shared" si="39"/>
        <v>0</v>
      </c>
      <c r="L238" s="210">
        <f t="shared" si="40"/>
        <v>0</v>
      </c>
    </row>
    <row r="239" spans="1:12">
      <c r="A239" s="100" t="s">
        <v>533</v>
      </c>
      <c r="B239" s="79">
        <v>23077901.57</v>
      </c>
      <c r="C239" s="77">
        <v>0</v>
      </c>
      <c r="D239" s="79">
        <v>23077901.57</v>
      </c>
      <c r="F239" s="87">
        <f>+NFS!J612</f>
        <v>23077901.57</v>
      </c>
      <c r="G239" s="87">
        <f t="shared" si="36"/>
        <v>0</v>
      </c>
      <c r="H239" s="87">
        <f t="shared" si="37"/>
        <v>23077901.57</v>
      </c>
      <c r="I239" s="87">
        <f>NFS!D612</f>
        <v>23077901.57</v>
      </c>
      <c r="J239" s="87">
        <f t="shared" si="38"/>
        <v>0</v>
      </c>
      <c r="K239" s="87">
        <f t="shared" si="39"/>
        <v>0</v>
      </c>
      <c r="L239" s="210">
        <f t="shared" si="40"/>
        <v>0</v>
      </c>
    </row>
    <row r="240" spans="1:12">
      <c r="A240" s="100" t="s">
        <v>535</v>
      </c>
      <c r="B240" s="79">
        <v>27700556.129999999</v>
      </c>
      <c r="C240" s="77">
        <v>0</v>
      </c>
      <c r="D240" s="79">
        <v>27700556.129999999</v>
      </c>
      <c r="F240" s="87">
        <f>+NFS!J615</f>
        <v>27700556.129999999</v>
      </c>
      <c r="G240" s="87">
        <f t="shared" si="36"/>
        <v>0</v>
      </c>
      <c r="H240" s="87">
        <f t="shared" si="37"/>
        <v>27700556.129999999</v>
      </c>
      <c r="I240" s="87">
        <f>NFS!D615</f>
        <v>27700556.129999999</v>
      </c>
      <c r="J240" s="87">
        <f t="shared" si="38"/>
        <v>0</v>
      </c>
      <c r="K240" s="87">
        <f t="shared" si="39"/>
        <v>0</v>
      </c>
      <c r="L240" s="210">
        <f t="shared" si="40"/>
        <v>0</v>
      </c>
    </row>
    <row r="241" spans="1:12">
      <c r="A241" s="100" t="s">
        <v>700</v>
      </c>
      <c r="B241" s="79">
        <v>27432725.079999998</v>
      </c>
      <c r="C241" s="79">
        <v>277603.20000000001</v>
      </c>
      <c r="D241" s="79">
        <v>27710328.280000001</v>
      </c>
      <c r="F241" s="87">
        <f>+NFS!J616</f>
        <v>27432725.079999998</v>
      </c>
      <c r="G241" s="87">
        <f t="shared" si="36"/>
        <v>277603.20000000001</v>
      </c>
      <c r="H241" s="87">
        <f t="shared" si="37"/>
        <v>27710328.279999997</v>
      </c>
      <c r="I241" s="87">
        <f>NFS!D616</f>
        <v>27710328.280000001</v>
      </c>
      <c r="J241" s="87">
        <f t="shared" si="38"/>
        <v>0</v>
      </c>
      <c r="K241" s="87">
        <f t="shared" si="39"/>
        <v>0</v>
      </c>
      <c r="L241" s="210">
        <f t="shared" si="40"/>
        <v>0</v>
      </c>
    </row>
    <row r="242" spans="1:12">
      <c r="A242" s="100" t="s">
        <v>537</v>
      </c>
      <c r="B242" s="79">
        <v>50995573.700000003</v>
      </c>
      <c r="C242" s="77">
        <v>0</v>
      </c>
      <c r="D242" s="79">
        <v>50995573.700000003</v>
      </c>
      <c r="F242" s="87">
        <f>+NFS!J617</f>
        <v>50995573.700000003</v>
      </c>
      <c r="G242" s="87">
        <f t="shared" si="36"/>
        <v>0</v>
      </c>
      <c r="H242" s="87">
        <f t="shared" si="37"/>
        <v>50995573.700000003</v>
      </c>
      <c r="I242" s="87">
        <f>NFS!D617</f>
        <v>50995573.700000003</v>
      </c>
      <c r="J242" s="87">
        <f t="shared" si="38"/>
        <v>0</v>
      </c>
      <c r="K242" s="87">
        <f t="shared" si="39"/>
        <v>0</v>
      </c>
      <c r="L242" s="210">
        <f t="shared" si="40"/>
        <v>0</v>
      </c>
    </row>
    <row r="243" spans="1:12">
      <c r="A243" s="100" t="s">
        <v>538</v>
      </c>
      <c r="B243" s="79">
        <v>33294778.93</v>
      </c>
      <c r="C243" s="77">
        <v>0</v>
      </c>
      <c r="D243" s="79">
        <v>33294778.93</v>
      </c>
      <c r="F243" s="87">
        <f>+NFS!J618</f>
        <v>33294778.93</v>
      </c>
      <c r="G243" s="87">
        <f t="shared" si="36"/>
        <v>0</v>
      </c>
      <c r="H243" s="87">
        <f t="shared" si="37"/>
        <v>33294778.93</v>
      </c>
      <c r="I243" s="87">
        <f>NFS!D618</f>
        <v>33294778.93</v>
      </c>
      <c r="J243" s="87">
        <f t="shared" si="38"/>
        <v>0</v>
      </c>
      <c r="K243" s="87">
        <f t="shared" si="39"/>
        <v>0</v>
      </c>
      <c r="L243" s="210">
        <f t="shared" si="40"/>
        <v>0</v>
      </c>
    </row>
    <row r="244" spans="1:12" ht="27.6">
      <c r="A244" s="100" t="s">
        <v>701</v>
      </c>
      <c r="B244" s="79">
        <v>660970</v>
      </c>
      <c r="C244" s="77">
        <v>0</v>
      </c>
      <c r="D244" s="79">
        <v>660970</v>
      </c>
      <c r="F244" s="87">
        <f>+NFS!J619</f>
        <v>660970</v>
      </c>
      <c r="G244" s="87">
        <f t="shared" si="36"/>
        <v>0</v>
      </c>
      <c r="H244" s="87">
        <f t="shared" si="37"/>
        <v>660970</v>
      </c>
      <c r="I244" s="87">
        <f>NFS!D619</f>
        <v>660970</v>
      </c>
      <c r="J244" s="87">
        <f t="shared" si="38"/>
        <v>0</v>
      </c>
      <c r="K244" s="87">
        <f t="shared" si="39"/>
        <v>0</v>
      </c>
      <c r="L244" s="210">
        <f t="shared" si="40"/>
        <v>0</v>
      </c>
    </row>
    <row r="245" spans="1:12">
      <c r="A245" s="100" t="s">
        <v>540</v>
      </c>
      <c r="B245" s="79">
        <v>1359534.27</v>
      </c>
      <c r="C245" s="77">
        <v>0</v>
      </c>
      <c r="D245" s="79">
        <v>1359534.27</v>
      </c>
      <c r="F245" s="87">
        <f>+NFS!J620</f>
        <v>1359534.27</v>
      </c>
      <c r="G245" s="87">
        <f t="shared" si="36"/>
        <v>0</v>
      </c>
      <c r="H245" s="87">
        <f t="shared" si="37"/>
        <v>1359534.27</v>
      </c>
      <c r="I245" s="87">
        <f>NFS!D620</f>
        <v>1359534.27</v>
      </c>
      <c r="J245" s="87">
        <f t="shared" si="38"/>
        <v>0</v>
      </c>
      <c r="K245" s="87">
        <f>+B245-F245</f>
        <v>0</v>
      </c>
      <c r="L245" s="210">
        <f t="shared" si="40"/>
        <v>0</v>
      </c>
    </row>
    <row r="246" spans="1:12">
      <c r="A246" s="100" t="s">
        <v>541</v>
      </c>
      <c r="B246" s="79">
        <v>2003125139.4200001</v>
      </c>
      <c r="C246" s="77">
        <v>0</v>
      </c>
      <c r="D246" s="79">
        <v>2003125139.4200001</v>
      </c>
      <c r="F246" s="87">
        <f>+NFS!J621</f>
        <v>2003125139.4200001</v>
      </c>
      <c r="G246" s="87">
        <f t="shared" si="36"/>
        <v>0</v>
      </c>
      <c r="H246" s="87">
        <f t="shared" si="37"/>
        <v>2003125139.4200001</v>
      </c>
      <c r="I246" s="87">
        <f>NFS!D621</f>
        <v>2003125139.4200001</v>
      </c>
      <c r="J246" s="87">
        <f t="shared" si="38"/>
        <v>0</v>
      </c>
      <c r="K246" s="87">
        <f t="shared" si="39"/>
        <v>0</v>
      </c>
      <c r="L246" s="210">
        <f t="shared" si="40"/>
        <v>0</v>
      </c>
    </row>
    <row r="247" spans="1:12" ht="28.2" thickBot="1">
      <c r="A247" s="100" t="s">
        <v>702</v>
      </c>
      <c r="B247" s="79">
        <v>1861903331.8900001</v>
      </c>
      <c r="C247" s="79">
        <v>952943.41</v>
      </c>
      <c r="D247" s="79">
        <v>1862856275.3</v>
      </c>
      <c r="F247" s="87">
        <f>+NFS!J622</f>
        <v>1861903331.8900001</v>
      </c>
      <c r="G247" s="87">
        <f t="shared" si="36"/>
        <v>952943.41</v>
      </c>
      <c r="H247" s="87">
        <f t="shared" si="37"/>
        <v>1862856275.3000002</v>
      </c>
      <c r="I247" s="87">
        <f>NFS!D622</f>
        <v>1862856275.3</v>
      </c>
      <c r="J247" s="87">
        <f t="shared" si="38"/>
        <v>0</v>
      </c>
      <c r="K247" s="87">
        <f t="shared" si="39"/>
        <v>0</v>
      </c>
      <c r="L247" s="210">
        <f t="shared" si="40"/>
        <v>0</v>
      </c>
    </row>
    <row r="248" spans="1:12" ht="28.2" thickBot="1">
      <c r="A248" s="204" t="s">
        <v>703</v>
      </c>
      <c r="B248" s="205">
        <v>15444473648.969999</v>
      </c>
      <c r="C248" s="205">
        <v>309135142.44</v>
      </c>
      <c r="D248" s="205">
        <v>15753608791.41</v>
      </c>
      <c r="L248" s="210"/>
    </row>
    <row r="249" spans="1:12">
      <c r="A249" s="100" t="s">
        <v>704</v>
      </c>
      <c r="B249" s="79">
        <v>7316427.5899999999</v>
      </c>
      <c r="C249" s="77">
        <v>0</v>
      </c>
      <c r="D249" s="79">
        <v>7316427.5899999999</v>
      </c>
      <c r="F249" s="87">
        <f>NFS!J655</f>
        <v>7316427.5899999999</v>
      </c>
      <c r="G249" s="87">
        <f t="shared" si="36"/>
        <v>0</v>
      </c>
      <c r="H249" s="87">
        <f t="shared" si="37"/>
        <v>7316427.5899999999</v>
      </c>
      <c r="I249" s="214">
        <v>7316427.5899999999</v>
      </c>
      <c r="J249" s="87">
        <f t="shared" si="38"/>
        <v>0</v>
      </c>
      <c r="K249" s="87">
        <f t="shared" si="39"/>
        <v>0</v>
      </c>
      <c r="L249" s="210">
        <f t="shared" si="40"/>
        <v>0</v>
      </c>
    </row>
    <row r="250" spans="1:12">
      <c r="A250" s="100" t="s">
        <v>705</v>
      </c>
      <c r="B250" s="79">
        <v>255450</v>
      </c>
      <c r="C250" s="77">
        <v>0</v>
      </c>
      <c r="D250" s="79">
        <v>255450</v>
      </c>
      <c r="F250" s="87">
        <f>+NFS!J653</f>
        <v>255450</v>
      </c>
      <c r="G250" s="87">
        <f t="shared" si="36"/>
        <v>0</v>
      </c>
      <c r="H250" s="87">
        <f t="shared" si="37"/>
        <v>255450</v>
      </c>
      <c r="I250" s="214">
        <v>255450</v>
      </c>
      <c r="J250" s="87">
        <f t="shared" si="38"/>
        <v>0</v>
      </c>
      <c r="K250" s="87">
        <f t="shared" si="39"/>
        <v>0</v>
      </c>
      <c r="L250" s="210">
        <f t="shared" si="40"/>
        <v>0</v>
      </c>
    </row>
    <row r="251" spans="1:12" ht="15" thickBot="1">
      <c r="A251" s="100" t="s">
        <v>706</v>
      </c>
      <c r="B251" s="77">
        <v>0</v>
      </c>
      <c r="C251" s="77">
        <v>0</v>
      </c>
      <c r="D251" s="77">
        <v>0</v>
      </c>
      <c r="G251" s="87">
        <f t="shared" si="36"/>
        <v>0</v>
      </c>
      <c r="H251" s="87">
        <f t="shared" si="37"/>
        <v>0</v>
      </c>
      <c r="J251" s="87">
        <f t="shared" si="38"/>
        <v>0</v>
      </c>
      <c r="K251" s="87">
        <f t="shared" si="39"/>
        <v>0</v>
      </c>
      <c r="L251" s="210">
        <f t="shared" si="40"/>
        <v>0</v>
      </c>
    </row>
    <row r="252" spans="1:12" ht="15" thickBot="1">
      <c r="A252" s="204" t="s">
        <v>707</v>
      </c>
      <c r="B252" s="205">
        <v>7571877.5899999999</v>
      </c>
      <c r="C252" s="206">
        <v>0</v>
      </c>
      <c r="D252" s="205">
        <v>7571877.5899999999</v>
      </c>
      <c r="L252" s="210"/>
    </row>
    <row r="253" spans="1:12">
      <c r="A253" s="100" t="s">
        <v>708</v>
      </c>
      <c r="B253" s="79">
        <v>2526160.12</v>
      </c>
      <c r="C253" s="77">
        <v>0</v>
      </c>
      <c r="D253" s="79">
        <v>2526160.12</v>
      </c>
      <c r="F253" s="87">
        <f>+NFS!J668</f>
        <v>2526160.12</v>
      </c>
      <c r="G253" s="87">
        <f t="shared" si="36"/>
        <v>0</v>
      </c>
      <c r="H253" s="87">
        <f t="shared" si="37"/>
        <v>2526160.12</v>
      </c>
      <c r="I253" s="87">
        <f>+NFS!D668</f>
        <v>2526160.12</v>
      </c>
      <c r="J253" s="87">
        <f t="shared" si="38"/>
        <v>0</v>
      </c>
      <c r="K253" s="87">
        <f t="shared" si="39"/>
        <v>0</v>
      </c>
      <c r="L253" s="210">
        <f t="shared" si="40"/>
        <v>0</v>
      </c>
    </row>
    <row r="254" spans="1:12" ht="27.6">
      <c r="A254" s="100" t="s">
        <v>709</v>
      </c>
      <c r="B254" s="79">
        <v>677180998.65999997</v>
      </c>
      <c r="C254" s="77">
        <v>0</v>
      </c>
      <c r="D254" s="79">
        <v>677180998.65999997</v>
      </c>
      <c r="F254" s="87">
        <f>+NFS!J669</f>
        <v>677180998.65999997</v>
      </c>
      <c r="G254" s="87">
        <f t="shared" si="36"/>
        <v>0</v>
      </c>
      <c r="H254" s="87">
        <f t="shared" si="37"/>
        <v>677180998.65999997</v>
      </c>
      <c r="I254" s="87">
        <f>+NFS!D669</f>
        <v>677180998.65999997</v>
      </c>
      <c r="J254" s="87">
        <f t="shared" si="38"/>
        <v>0</v>
      </c>
      <c r="K254" s="87">
        <f t="shared" si="39"/>
        <v>0</v>
      </c>
      <c r="L254" s="210">
        <f t="shared" si="40"/>
        <v>0</v>
      </c>
    </row>
    <row r="255" spans="1:12" ht="27.6">
      <c r="A255" s="100" t="s">
        <v>710</v>
      </c>
      <c r="B255" s="79">
        <v>450096555.01999998</v>
      </c>
      <c r="C255" s="77">
        <v>0</v>
      </c>
      <c r="D255" s="79">
        <v>450096555.01999998</v>
      </c>
      <c r="F255" s="87">
        <f>+NFS!J670</f>
        <v>450096555.01999998</v>
      </c>
      <c r="G255" s="87">
        <f t="shared" si="36"/>
        <v>0</v>
      </c>
      <c r="H255" s="87">
        <f t="shared" si="37"/>
        <v>450096555.01999998</v>
      </c>
      <c r="I255" s="87">
        <f>+NFS!D670</f>
        <v>450096555.01999998</v>
      </c>
      <c r="J255" s="87">
        <f t="shared" si="38"/>
        <v>0</v>
      </c>
      <c r="K255" s="87">
        <f t="shared" si="39"/>
        <v>0</v>
      </c>
      <c r="L255" s="210">
        <f t="shared" si="40"/>
        <v>0</v>
      </c>
    </row>
    <row r="256" spans="1:12" ht="27.6">
      <c r="A256" s="100" t="s">
        <v>711</v>
      </c>
      <c r="B256" s="79">
        <v>97783245.739999995</v>
      </c>
      <c r="C256" s="77">
        <v>0</v>
      </c>
      <c r="D256" s="79">
        <v>97783245.739999995</v>
      </c>
      <c r="F256" s="87">
        <f>+NFS!J671</f>
        <v>97783245.739999995</v>
      </c>
      <c r="G256" s="87">
        <f t="shared" si="36"/>
        <v>0</v>
      </c>
      <c r="H256" s="87">
        <f t="shared" si="37"/>
        <v>97783245.739999995</v>
      </c>
      <c r="I256" s="87">
        <f>+NFS!D671</f>
        <v>97783245.739999995</v>
      </c>
      <c r="J256" s="87">
        <f t="shared" si="38"/>
        <v>0</v>
      </c>
      <c r="K256" s="87">
        <f t="shared" si="39"/>
        <v>0</v>
      </c>
      <c r="L256" s="210">
        <f t="shared" si="40"/>
        <v>0</v>
      </c>
    </row>
    <row r="257" spans="1:12" ht="27.6">
      <c r="A257" s="100" t="s">
        <v>712</v>
      </c>
      <c r="B257" s="79">
        <v>5246405.91</v>
      </c>
      <c r="C257" s="77">
        <v>0</v>
      </c>
      <c r="D257" s="79">
        <v>5246405.91</v>
      </c>
      <c r="F257" s="87">
        <f>+NFS!J672</f>
        <v>5246405.91</v>
      </c>
      <c r="G257" s="87">
        <f t="shared" si="36"/>
        <v>0</v>
      </c>
      <c r="H257" s="87">
        <f t="shared" si="37"/>
        <v>5246405.91</v>
      </c>
      <c r="I257" s="87">
        <f>+NFS!D672</f>
        <v>5246405.91</v>
      </c>
      <c r="J257" s="87">
        <f t="shared" si="38"/>
        <v>0</v>
      </c>
      <c r="K257" s="87">
        <f t="shared" si="39"/>
        <v>0</v>
      </c>
      <c r="L257" s="210">
        <f t="shared" si="40"/>
        <v>0</v>
      </c>
    </row>
    <row r="258" spans="1:12" ht="27.6">
      <c r="A258" s="100" t="s">
        <v>713</v>
      </c>
      <c r="B258" s="79">
        <v>34267470.359999999</v>
      </c>
      <c r="C258" s="77">
        <v>0</v>
      </c>
      <c r="D258" s="79">
        <v>34267470.359999999</v>
      </c>
      <c r="F258" s="87">
        <f>+NFS!J673</f>
        <v>34267470.359999999</v>
      </c>
      <c r="G258" s="87">
        <f t="shared" si="36"/>
        <v>0</v>
      </c>
      <c r="H258" s="87">
        <f t="shared" si="37"/>
        <v>34267470.359999999</v>
      </c>
      <c r="I258" s="87">
        <f>+NFS!D673</f>
        <v>34267470.359999999</v>
      </c>
      <c r="J258" s="87">
        <f t="shared" si="38"/>
        <v>0</v>
      </c>
      <c r="K258" s="87">
        <f t="shared" si="39"/>
        <v>0</v>
      </c>
      <c r="L258" s="210">
        <f t="shared" si="40"/>
        <v>0</v>
      </c>
    </row>
    <row r="259" spans="1:12" ht="28.2" thickBot="1">
      <c r="A259" s="184" t="s">
        <v>555</v>
      </c>
      <c r="B259" s="188">
        <v>27908232.609999999</v>
      </c>
      <c r="C259" s="77">
        <v>0</v>
      </c>
      <c r="D259" s="188">
        <v>27908232.609999999</v>
      </c>
      <c r="F259" s="87">
        <f>+NFS!J674</f>
        <v>27908232.609999999</v>
      </c>
      <c r="G259" s="87">
        <f t="shared" ref="G259:G262" si="41">+C259</f>
        <v>0</v>
      </c>
      <c r="H259" s="87">
        <f t="shared" ref="H259:H262" si="42">+F259+G259</f>
        <v>27908232.609999999</v>
      </c>
      <c r="I259" s="87">
        <f>+NFS!D674</f>
        <v>27908232.609999999</v>
      </c>
      <c r="J259" s="87">
        <f t="shared" ref="J259:J262" si="43">+H259-I259</f>
        <v>0</v>
      </c>
      <c r="K259" s="87">
        <f t="shared" ref="K259:K262" si="44">+B259-F259</f>
        <v>0</v>
      </c>
      <c r="L259" s="210">
        <f t="shared" ref="L259:L262" si="45">+D259-I259</f>
        <v>0</v>
      </c>
    </row>
    <row r="260" spans="1:12" ht="15" thickBot="1">
      <c r="A260" s="185" t="s">
        <v>714</v>
      </c>
      <c r="B260" s="190">
        <v>1295009068.4200001</v>
      </c>
      <c r="C260" s="209">
        <v>0</v>
      </c>
      <c r="D260" s="190">
        <v>1295009068.4200001</v>
      </c>
      <c r="L260" s="210"/>
    </row>
    <row r="261" spans="1:12">
      <c r="A261" s="100" t="s">
        <v>715</v>
      </c>
      <c r="B261" s="79">
        <v>447200735</v>
      </c>
      <c r="C261" s="77">
        <v>0</v>
      </c>
      <c r="D261" s="79">
        <v>447200735</v>
      </c>
      <c r="F261" s="87">
        <f>+NFS!J685</f>
        <v>447200735</v>
      </c>
      <c r="G261" s="87">
        <f t="shared" si="41"/>
        <v>0</v>
      </c>
      <c r="H261" s="87">
        <f t="shared" si="42"/>
        <v>447200735</v>
      </c>
      <c r="I261" s="87">
        <f>+NFS!D685</f>
        <v>447200735</v>
      </c>
      <c r="J261" s="87">
        <f t="shared" si="43"/>
        <v>0</v>
      </c>
      <c r="K261" s="87">
        <f t="shared" si="44"/>
        <v>0</v>
      </c>
      <c r="L261" s="210">
        <f t="shared" si="45"/>
        <v>0</v>
      </c>
    </row>
    <row r="262" spans="1:12" ht="28.2" thickBot="1">
      <c r="A262" s="100" t="s">
        <v>716</v>
      </c>
      <c r="B262" s="79">
        <v>133747135.28</v>
      </c>
      <c r="C262" s="77">
        <v>0</v>
      </c>
      <c r="D262" s="79">
        <v>133747135.28</v>
      </c>
      <c r="F262" s="87">
        <f>+NFS!J687</f>
        <v>133747135.28</v>
      </c>
      <c r="G262" s="87">
        <f t="shared" si="41"/>
        <v>0</v>
      </c>
      <c r="H262" s="87">
        <f t="shared" si="42"/>
        <v>133747135.28</v>
      </c>
      <c r="I262" s="87">
        <f>+NFS!D687</f>
        <v>133747135.28</v>
      </c>
      <c r="J262" s="87">
        <f t="shared" si="43"/>
        <v>0</v>
      </c>
      <c r="K262" s="87">
        <f t="shared" si="44"/>
        <v>0</v>
      </c>
      <c r="L262" s="210">
        <f t="shared" si="45"/>
        <v>0</v>
      </c>
    </row>
    <row r="263" spans="1:12" ht="28.2" thickBot="1">
      <c r="A263" s="204" t="s">
        <v>717</v>
      </c>
      <c r="B263" s="205">
        <v>580947870.27999997</v>
      </c>
      <c r="C263" s="206">
        <v>0</v>
      </c>
      <c r="D263" s="205">
        <v>580947870.27999997</v>
      </c>
      <c r="L263" s="210"/>
    </row>
    <row r="264" spans="1:12" ht="15" thickBot="1">
      <c r="A264" s="185" t="s">
        <v>718</v>
      </c>
      <c r="B264" s="190">
        <v>22453601657.5</v>
      </c>
      <c r="C264" s="190">
        <v>312380976.05000001</v>
      </c>
      <c r="D264" s="190">
        <v>22765982633.549999</v>
      </c>
      <c r="L264" s="210"/>
    </row>
    <row r="265" spans="1:12" ht="15" thickBot="1">
      <c r="A265" s="185" t="s">
        <v>719</v>
      </c>
      <c r="B265" s="190">
        <v>4117717270.4400001</v>
      </c>
      <c r="C265" s="190">
        <v>254220078.94999999</v>
      </c>
      <c r="D265" s="190">
        <v>4371937349.3900003</v>
      </c>
      <c r="L265" s="210"/>
    </row>
    <row r="269" spans="1:12" ht="15" thickBot="1"/>
    <row r="270" spans="1:12" ht="28.2" thickBot="1">
      <c r="A270" s="125" t="s">
        <v>64</v>
      </c>
      <c r="B270" s="125" t="s">
        <v>602</v>
      </c>
      <c r="C270" s="125" t="s">
        <v>603</v>
      </c>
      <c r="D270" s="125" t="s">
        <v>604</v>
      </c>
    </row>
    <row r="271" spans="1:12">
      <c r="A271" s="76" t="s">
        <v>114</v>
      </c>
      <c r="B271" s="113">
        <v>36246902938.57</v>
      </c>
      <c r="C271" s="220">
        <v>3826446060.3200002</v>
      </c>
      <c r="D271" s="220">
        <v>40073348998.889999</v>
      </c>
      <c r="F271" s="87" t="e">
        <f>+SCNAE!#REF!</f>
        <v>#REF!</v>
      </c>
      <c r="G271" s="87">
        <f t="shared" ref="G271" si="46">+C271</f>
        <v>3826446060.3200002</v>
      </c>
      <c r="H271" s="87" t="e">
        <f t="shared" ref="H271" si="47">+F271+G271</f>
        <v>#REF!</v>
      </c>
      <c r="I271" s="87">
        <f>+SCNAE!E8</f>
        <v>40073348998.889999</v>
      </c>
      <c r="J271" s="87" t="e">
        <f t="shared" ref="J271" si="48">+H271-I271</f>
        <v>#REF!</v>
      </c>
      <c r="K271" s="87" t="e">
        <f t="shared" ref="K271" si="49">+B271-F271</f>
        <v>#REF!</v>
      </c>
      <c r="L271" s="210">
        <f t="shared" ref="L271" si="50">+D271-I271</f>
        <v>0</v>
      </c>
    </row>
    <row r="272" spans="1:12">
      <c r="A272" s="100" t="s">
        <v>42</v>
      </c>
      <c r="B272" s="77"/>
      <c r="C272" s="77"/>
      <c r="D272" s="77"/>
    </row>
    <row r="273" spans="1:12" ht="15" thickBot="1">
      <c r="A273" s="100" t="s">
        <v>654</v>
      </c>
      <c r="B273" s="77" t="s">
        <v>165</v>
      </c>
      <c r="C273" s="77" t="s">
        <v>165</v>
      </c>
      <c r="D273" s="77" t="s">
        <v>165</v>
      </c>
    </row>
    <row r="274" spans="1:12" ht="15" thickBot="1">
      <c r="A274" s="204" t="s">
        <v>124</v>
      </c>
      <c r="B274" s="205">
        <v>36246902938.57</v>
      </c>
      <c r="C274" s="221">
        <v>3826446060.3200002</v>
      </c>
      <c r="D274" s="222">
        <v>40073348998.889999</v>
      </c>
    </row>
    <row r="275" spans="1:12" ht="27.6">
      <c r="A275" s="76" t="s">
        <v>720</v>
      </c>
      <c r="B275" s="134"/>
      <c r="C275" s="77"/>
      <c r="D275" s="77"/>
    </row>
    <row r="276" spans="1:12">
      <c r="A276" s="442" t="s">
        <v>43</v>
      </c>
      <c r="B276" s="77" t="s">
        <v>468</v>
      </c>
      <c r="C276" s="123"/>
      <c r="D276" s="77"/>
    </row>
    <row r="277" spans="1:12" ht="15" thickBot="1">
      <c r="A277" s="443"/>
      <c r="B277" s="79">
        <v>4117717270.4400001</v>
      </c>
      <c r="C277" s="215">
        <v>254220078.94999999</v>
      </c>
      <c r="D277" s="215">
        <v>4371937349.3900003</v>
      </c>
      <c r="F277" s="87" t="e">
        <f>+SCNAE!#REF!</f>
        <v>#REF!</v>
      </c>
      <c r="G277" s="87">
        <f t="shared" ref="G277" si="51">+C277</f>
        <v>254220078.94999999</v>
      </c>
      <c r="H277" s="87" t="e">
        <f t="shared" ref="H277" si="52">+F277+G277</f>
        <v>#REF!</v>
      </c>
      <c r="I277" s="87">
        <f>+SCNAE!E14</f>
        <v>4371937349.3900003</v>
      </c>
      <c r="J277" s="87" t="e">
        <f t="shared" ref="J277" si="53">+H277-I277</f>
        <v>#REF!</v>
      </c>
      <c r="K277" s="87" t="e">
        <f t="shared" ref="K277" si="54">+B277-F277</f>
        <v>#REF!</v>
      </c>
      <c r="L277" s="210">
        <f t="shared" ref="L277" si="55">+D277-I277</f>
        <v>0</v>
      </c>
    </row>
    <row r="278" spans="1:12" ht="15" thickBot="1">
      <c r="A278" s="185" t="s">
        <v>115</v>
      </c>
      <c r="B278" s="205">
        <v>40364620209.010002</v>
      </c>
      <c r="C278" s="217">
        <v>4080666139.27</v>
      </c>
      <c r="D278" s="217">
        <v>44445286348.279999</v>
      </c>
    </row>
  </sheetData>
  <mergeCells count="22">
    <mergeCell ref="D121:D122"/>
    <mergeCell ref="A75:A76"/>
    <mergeCell ref="B90:B91"/>
    <mergeCell ref="C90:C91"/>
    <mergeCell ref="B121:B122"/>
    <mergeCell ref="C121:C122"/>
    <mergeCell ref="D180:D181"/>
    <mergeCell ref="A276:A277"/>
    <mergeCell ref="B180:B181"/>
    <mergeCell ref="C180:C181"/>
    <mergeCell ref="B2:B3"/>
    <mergeCell ref="C2:C3"/>
    <mergeCell ref="D2:D3"/>
    <mergeCell ref="B132:B133"/>
    <mergeCell ref="C132:C133"/>
    <mergeCell ref="D132:D133"/>
    <mergeCell ref="D90:D91"/>
    <mergeCell ref="A63:A64"/>
    <mergeCell ref="A66:A67"/>
    <mergeCell ref="A68:A69"/>
    <mergeCell ref="A70:A71"/>
    <mergeCell ref="A73:A74"/>
  </mergeCells>
  <conditionalFormatting sqref="K1:L270 J2:J270 J271:L1048576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2DA8-D09B-40B6-8AB0-D24364F420DF}">
  <dimension ref="A1:P26"/>
  <sheetViews>
    <sheetView topLeftCell="D7" workbookViewId="0">
      <selection activeCell="C656" sqref="C656"/>
    </sheetView>
  </sheetViews>
  <sheetFormatPr defaultRowHeight="14.4"/>
  <cols>
    <col min="1" max="1" width="22.44140625" customWidth="1"/>
    <col min="2" max="2" width="18.109375" customWidth="1"/>
    <col min="6" max="6" width="21.5546875" customWidth="1"/>
    <col min="7" max="7" width="17.5546875" customWidth="1"/>
    <col min="8" max="8" width="16.33203125" bestFit="1" customWidth="1"/>
    <col min="9" max="9" width="17.5546875" customWidth="1"/>
    <col min="10" max="10" width="5.33203125" customWidth="1"/>
    <col min="11" max="13" width="18.33203125" style="87" customWidth="1"/>
    <col min="14" max="14" width="16.33203125" bestFit="1" customWidth="1"/>
    <col min="15" max="16" width="17.44140625" bestFit="1" customWidth="1"/>
  </cols>
  <sheetData>
    <row r="1" spans="1:16" ht="28.2" thickBot="1">
      <c r="A1" s="278"/>
      <c r="B1" s="75" t="s">
        <v>848</v>
      </c>
      <c r="C1" s="75" t="s">
        <v>849</v>
      </c>
      <c r="D1" s="75" t="s">
        <v>35</v>
      </c>
      <c r="F1" s="323" t="s">
        <v>64</v>
      </c>
      <c r="G1" s="323">
        <v>2022</v>
      </c>
      <c r="H1" s="323">
        <v>2021</v>
      </c>
      <c r="I1" s="323" t="s">
        <v>850</v>
      </c>
      <c r="K1" s="87" t="s">
        <v>851</v>
      </c>
      <c r="N1" t="s">
        <v>338</v>
      </c>
    </row>
    <row r="2" spans="1:16">
      <c r="A2" s="110" t="s">
        <v>852</v>
      </c>
      <c r="B2" s="77">
        <v>2</v>
      </c>
      <c r="C2" s="77">
        <v>38</v>
      </c>
      <c r="D2" s="77">
        <v>40</v>
      </c>
      <c r="F2" s="324" t="s">
        <v>853</v>
      </c>
      <c r="G2" s="180">
        <v>73694401449.639999</v>
      </c>
      <c r="H2" s="180">
        <v>66405910427.970001</v>
      </c>
      <c r="I2" s="180">
        <v>7288491021.6700001</v>
      </c>
      <c r="K2" s="87">
        <f>+[2]SFPo!D22</f>
        <v>73694401449.639999</v>
      </c>
      <c r="L2" s="87">
        <f>+[2]SFPo!E22</f>
        <v>66405910427.969658</v>
      </c>
      <c r="M2" s="87">
        <f>+K2-L2</f>
        <v>7288491021.6703415</v>
      </c>
      <c r="N2" s="210">
        <f>+G2-K2</f>
        <v>0</v>
      </c>
      <c r="O2" s="210">
        <f t="shared" ref="O2:P8" si="0">+H2-L2</f>
        <v>3.4332275390625E-4</v>
      </c>
      <c r="P2" s="210">
        <f t="shared" si="0"/>
        <v>-3.414154052734375E-4</v>
      </c>
    </row>
    <row r="3" spans="1:16">
      <c r="A3" s="110" t="s">
        <v>854</v>
      </c>
      <c r="B3" s="325">
        <v>8562</v>
      </c>
      <c r="C3" s="77">
        <v>125</v>
      </c>
      <c r="D3" s="325">
        <v>8687</v>
      </c>
      <c r="F3" s="324" t="s">
        <v>855</v>
      </c>
      <c r="G3" s="180">
        <v>26765129719.869999</v>
      </c>
      <c r="H3" s="180">
        <v>21960624079.689999</v>
      </c>
      <c r="I3" s="180">
        <v>4804505640.1800003</v>
      </c>
      <c r="K3" s="87">
        <f>+[2]SFPo!D37</f>
        <v>26765129719.870003</v>
      </c>
      <c r="L3" s="87">
        <f>+[2]SFPo!E37</f>
        <v>21960624079.689682</v>
      </c>
      <c r="M3" s="87">
        <f t="shared" ref="M3:M8" si="1">+K3-L3</f>
        <v>4804505640.1803207</v>
      </c>
      <c r="N3" s="210">
        <f t="shared" ref="N3:N8" si="2">+G3-K3</f>
        <v>0</v>
      </c>
      <c r="O3" s="210">
        <f t="shared" si="0"/>
        <v>3.16619873046875E-4</v>
      </c>
      <c r="P3" s="210">
        <f t="shared" si="0"/>
        <v>-3.204345703125E-4</v>
      </c>
    </row>
    <row r="4" spans="1:16">
      <c r="A4" s="110" t="s">
        <v>856</v>
      </c>
      <c r="B4" s="77">
        <v>35</v>
      </c>
      <c r="C4" s="77">
        <v>466</v>
      </c>
      <c r="D4" s="77">
        <v>501</v>
      </c>
      <c r="F4" s="324" t="s">
        <v>857</v>
      </c>
      <c r="G4" s="180">
        <v>46929271729.769997</v>
      </c>
      <c r="H4" s="180">
        <v>44445286348.279999</v>
      </c>
      <c r="I4" s="180">
        <v>2483985381.4899998</v>
      </c>
      <c r="K4" s="87">
        <f>+[2]SFPo!D40</f>
        <v>46929271729.769997</v>
      </c>
      <c r="L4" s="87">
        <f>+[2]SFPo!E40</f>
        <v>44445286348.279999</v>
      </c>
      <c r="M4" s="87">
        <f t="shared" si="1"/>
        <v>2483985381.4899979</v>
      </c>
      <c r="N4" s="210">
        <f t="shared" si="2"/>
        <v>0</v>
      </c>
      <c r="O4" s="210">
        <f t="shared" si="0"/>
        <v>0</v>
      </c>
      <c r="P4" s="210">
        <f t="shared" si="0"/>
        <v>0</v>
      </c>
    </row>
    <row r="5" spans="1:16">
      <c r="A5" s="110" t="s">
        <v>858</v>
      </c>
      <c r="B5" s="77">
        <v>75</v>
      </c>
      <c r="C5" s="77">
        <v>0</v>
      </c>
      <c r="D5" s="77">
        <v>75</v>
      </c>
      <c r="F5" s="324" t="s">
        <v>585</v>
      </c>
      <c r="G5" s="180">
        <v>19691552221.490002</v>
      </c>
      <c r="H5" s="180">
        <v>27137919982.939999</v>
      </c>
      <c r="I5" s="180">
        <v>-7446367761.4499998</v>
      </c>
      <c r="K5" s="87">
        <f>+[2]SFPe!D14</f>
        <v>19691552221.489998</v>
      </c>
      <c r="L5" s="87">
        <f>+[2]SFPe!E14</f>
        <v>27137919982.939995</v>
      </c>
      <c r="M5" s="87">
        <f t="shared" si="1"/>
        <v>-7446367761.4499969</v>
      </c>
      <c r="N5" s="210">
        <f t="shared" si="2"/>
        <v>0</v>
      </c>
      <c r="O5" s="210">
        <f t="shared" si="0"/>
        <v>0</v>
      </c>
      <c r="P5" s="210">
        <f t="shared" si="0"/>
        <v>0</v>
      </c>
    </row>
    <row r="6" spans="1:16">
      <c r="A6" s="110" t="s">
        <v>859</v>
      </c>
      <c r="B6" s="77">
        <v>308</v>
      </c>
      <c r="C6" s="77">
        <v>9</v>
      </c>
      <c r="D6" s="77">
        <v>317</v>
      </c>
      <c r="F6" s="324" t="s">
        <v>860</v>
      </c>
      <c r="G6" s="180">
        <v>16047340904.58</v>
      </c>
      <c r="H6" s="180">
        <v>22185034763.27</v>
      </c>
      <c r="I6" s="180">
        <v>-6137693858.6899996</v>
      </c>
      <c r="K6" s="87">
        <f>+[2]SFPe!D21</f>
        <v>16047340904.579998</v>
      </c>
      <c r="L6" s="87">
        <f>+[2]SFPe!E21</f>
        <v>22185034763.27</v>
      </c>
      <c r="M6" s="87">
        <f t="shared" si="1"/>
        <v>-6137693858.6900024</v>
      </c>
      <c r="N6" s="210">
        <f t="shared" si="2"/>
        <v>0</v>
      </c>
      <c r="O6" s="210">
        <f t="shared" si="0"/>
        <v>0</v>
      </c>
      <c r="P6" s="210">
        <f t="shared" si="0"/>
        <v>0</v>
      </c>
    </row>
    <row r="7" spans="1:16" ht="26.4">
      <c r="A7" s="110" t="s">
        <v>861</v>
      </c>
      <c r="B7" s="77">
        <v>0</v>
      </c>
      <c r="C7" s="77">
        <v>5</v>
      </c>
      <c r="D7" s="77">
        <v>5</v>
      </c>
      <c r="F7" s="324" t="s">
        <v>722</v>
      </c>
      <c r="G7" s="299">
        <v>554203130.26999998</v>
      </c>
      <c r="H7" s="299">
        <v>447200735</v>
      </c>
      <c r="I7" s="180">
        <v>107002395.27</v>
      </c>
      <c r="K7" s="87">
        <f>+[2]SFPe!D25</f>
        <v>28178905.449999999</v>
      </c>
      <c r="L7" s="87">
        <f>+[2]SFPe!E25</f>
        <v>0</v>
      </c>
      <c r="M7" s="87">
        <f t="shared" si="1"/>
        <v>28178905.449999999</v>
      </c>
      <c r="N7" s="210">
        <f t="shared" si="2"/>
        <v>526024224.81999999</v>
      </c>
      <c r="O7" s="210">
        <f t="shared" si="0"/>
        <v>447200735</v>
      </c>
      <c r="P7" s="210">
        <f t="shared" si="0"/>
        <v>78823489.819999993</v>
      </c>
    </row>
    <row r="8" spans="1:16" ht="26.4">
      <c r="A8" s="110" t="s">
        <v>862</v>
      </c>
      <c r="B8" s="325">
        <v>7044</v>
      </c>
      <c r="C8" s="325">
        <v>1195</v>
      </c>
      <c r="D8" s="325">
        <v>8239</v>
      </c>
      <c r="F8" s="324" t="s">
        <v>863</v>
      </c>
      <c r="G8" s="180">
        <v>606022805.14999998</v>
      </c>
      <c r="H8" s="180">
        <v>133747135.28</v>
      </c>
      <c r="I8" s="180">
        <v>472275669.87</v>
      </c>
      <c r="K8" s="87">
        <f>-[2]SFPe!D27-[2]SFPe!D26</f>
        <v>1188404840.8699999</v>
      </c>
      <c r="L8" s="87">
        <f>-[2]SFPe!E27-[2]SFPe!E26</f>
        <v>580947870.27999997</v>
      </c>
      <c r="M8" s="87">
        <f t="shared" si="1"/>
        <v>607456970.58999991</v>
      </c>
      <c r="N8" s="210">
        <f t="shared" si="2"/>
        <v>-582382035.71999991</v>
      </c>
      <c r="O8" s="210">
        <f t="shared" si="0"/>
        <v>-447200735</v>
      </c>
      <c r="P8" s="210">
        <f t="shared" si="0"/>
        <v>-135181300.71999991</v>
      </c>
    </row>
    <row r="9" spans="1:16">
      <c r="A9" s="110" t="s">
        <v>864</v>
      </c>
      <c r="B9" s="77">
        <v>140</v>
      </c>
      <c r="C9" s="77">
        <v>0</v>
      </c>
      <c r="D9" s="77">
        <v>140</v>
      </c>
    </row>
    <row r="10" spans="1:16" ht="15" thickBot="1">
      <c r="A10" s="111" t="s">
        <v>865</v>
      </c>
      <c r="B10" s="326">
        <v>1174</v>
      </c>
      <c r="C10" s="99">
        <v>0</v>
      </c>
      <c r="D10" s="326">
        <v>1174</v>
      </c>
    </row>
    <row r="11" spans="1:16" ht="15" thickBot="1">
      <c r="A11" s="158" t="s">
        <v>866</v>
      </c>
      <c r="B11" s="327">
        <v>17340</v>
      </c>
      <c r="C11" s="327">
        <v>1838</v>
      </c>
      <c r="D11" s="327">
        <v>19178</v>
      </c>
      <c r="F11" s="448" t="s">
        <v>64</v>
      </c>
      <c r="G11" s="448">
        <v>2022</v>
      </c>
      <c r="H11" s="448">
        <v>2021</v>
      </c>
      <c r="I11" s="328" t="s">
        <v>577</v>
      </c>
    </row>
    <row r="12" spans="1:16" ht="15" thickBot="1">
      <c r="B12">
        <f>SUM(B2:B10)</f>
        <v>17340</v>
      </c>
      <c r="C12">
        <f t="shared" ref="C12:D12" si="3">SUM(C2:C10)</f>
        <v>1838</v>
      </c>
      <c r="D12">
        <f t="shared" si="3"/>
        <v>19178</v>
      </c>
      <c r="F12" s="449"/>
      <c r="G12" s="449"/>
      <c r="H12" s="449"/>
      <c r="I12" s="148" t="s">
        <v>578</v>
      </c>
    </row>
    <row r="13" spans="1:16">
      <c r="B13" s="329">
        <f>+B11-B12</f>
        <v>0</v>
      </c>
      <c r="C13" s="329">
        <f t="shared" ref="C13:D13" si="4">+C11-C12</f>
        <v>0</v>
      </c>
      <c r="D13" s="329">
        <f t="shared" si="4"/>
        <v>0</v>
      </c>
      <c r="F13" s="330" t="s">
        <v>867</v>
      </c>
      <c r="G13" s="331">
        <v>26040437284</v>
      </c>
      <c r="H13" s="331">
        <v>36456216237</v>
      </c>
      <c r="I13" s="331">
        <v>-10415778953</v>
      </c>
      <c r="K13" s="87">
        <f>[2]SCBAA!H58</f>
        <v>26040437283.550003</v>
      </c>
      <c r="L13" s="87">
        <v>36456216237</v>
      </c>
      <c r="M13" s="87">
        <f t="shared" ref="M13:M14" si="5">+K13-L13</f>
        <v>-10415778953.449997</v>
      </c>
      <c r="N13" s="210">
        <f t="shared" ref="N13:P14" si="6">+G13-K13</f>
        <v>0.4499969482421875</v>
      </c>
      <c r="O13" s="210">
        <f t="shared" si="6"/>
        <v>0</v>
      </c>
      <c r="P13" s="210">
        <f t="shared" si="6"/>
        <v>0.4499969482421875</v>
      </c>
    </row>
    <row r="14" spans="1:16">
      <c r="F14" s="330" t="s">
        <v>868</v>
      </c>
      <c r="G14" s="331">
        <v>22299910724</v>
      </c>
      <c r="H14" s="331">
        <v>20663633285</v>
      </c>
      <c r="I14" s="331">
        <v>1636277439</v>
      </c>
      <c r="K14" s="87">
        <f>+[2]SCBAA!J58</f>
        <v>20506127301.880005</v>
      </c>
      <c r="L14" s="87">
        <v>20663633285.150002</v>
      </c>
      <c r="M14" s="87">
        <f t="shared" si="5"/>
        <v>-157505983.26999664</v>
      </c>
      <c r="N14" s="210">
        <f t="shared" si="6"/>
        <v>1793783422.1199951</v>
      </c>
      <c r="O14" s="210">
        <f t="shared" si="6"/>
        <v>-0.15000152587890625</v>
      </c>
      <c r="P14" s="210">
        <f t="shared" si="6"/>
        <v>1793783422.2699966</v>
      </c>
    </row>
    <row r="16" spans="1:16" ht="15" thickBot="1"/>
    <row r="17" spans="2:16" ht="15" thickBot="1">
      <c r="B17" t="s">
        <v>869</v>
      </c>
      <c r="F17" s="332" t="s">
        <v>64</v>
      </c>
      <c r="G17" s="332" t="s">
        <v>353</v>
      </c>
      <c r="H17" s="149" t="s">
        <v>774</v>
      </c>
      <c r="I17" s="332" t="s">
        <v>870</v>
      </c>
      <c r="K17" s="87" t="s">
        <v>871</v>
      </c>
    </row>
    <row r="18" spans="2:16">
      <c r="B18" s="87">
        <f>+[2]SFPe!D8</f>
        <v>13046462540.809999</v>
      </c>
      <c r="C18" s="210">
        <f>+I18-B18</f>
        <v>0</v>
      </c>
      <c r="F18" s="330" t="s">
        <v>31</v>
      </c>
      <c r="G18" s="162">
        <v>9864178763.1200008</v>
      </c>
      <c r="H18" s="162">
        <v>3182283777.6900001</v>
      </c>
      <c r="I18" s="162">
        <v>13046462540.809999</v>
      </c>
      <c r="J18" s="87">
        <f>SUM(G18:H18)-I18</f>
        <v>0</v>
      </c>
      <c r="K18" s="87">
        <f>14467131250.12-K19</f>
        <v>9864178763.1200008</v>
      </c>
      <c r="L18" s="87">
        <v>3182283777.6899996</v>
      </c>
      <c r="M18" s="87">
        <f>SUM(K18:L18)</f>
        <v>13046462540.810001</v>
      </c>
      <c r="N18" s="210">
        <f t="shared" ref="N18:P23" si="7">+G18-K18</f>
        <v>0</v>
      </c>
      <c r="O18" s="210">
        <f t="shared" si="7"/>
        <v>0</v>
      </c>
      <c r="P18" s="210">
        <f t="shared" si="7"/>
        <v>0</v>
      </c>
    </row>
    <row r="19" spans="2:16" ht="27.6">
      <c r="B19" s="87">
        <f>[2]SFPe!D9</f>
        <v>4602952487</v>
      </c>
      <c r="C19" s="210">
        <f t="shared" ref="C19:C23" si="8">+I19-B19</f>
        <v>0</v>
      </c>
      <c r="F19" s="122" t="s">
        <v>126</v>
      </c>
      <c r="G19" s="162">
        <v>4602952487</v>
      </c>
      <c r="H19" s="333">
        <v>0</v>
      </c>
      <c r="I19" s="162">
        <v>4602952487</v>
      </c>
      <c r="J19" s="87">
        <f t="shared" ref="J19:J24" si="9">SUM(G19:H19)-I19</f>
        <v>0</v>
      </c>
      <c r="K19" s="87">
        <v>4602952487</v>
      </c>
      <c r="L19" s="87">
        <v>0</v>
      </c>
      <c r="M19" s="87">
        <f t="shared" ref="M19:M20" si="10">SUM(K19:L19)</f>
        <v>4602952487</v>
      </c>
      <c r="N19" s="210">
        <f t="shared" si="7"/>
        <v>0</v>
      </c>
      <c r="O19" s="210">
        <f t="shared" si="7"/>
        <v>0</v>
      </c>
      <c r="P19" s="210">
        <f t="shared" si="7"/>
        <v>0</v>
      </c>
    </row>
    <row r="20" spans="2:16" ht="27.6">
      <c r="B20" s="87">
        <f>+[2]SFPe!D10</f>
        <v>1637476082.79</v>
      </c>
      <c r="C20" s="210">
        <f t="shared" si="8"/>
        <v>0</v>
      </c>
      <c r="F20" s="122" t="s">
        <v>32</v>
      </c>
      <c r="G20" s="162">
        <v>1626253690.05</v>
      </c>
      <c r="H20" s="162">
        <v>11222392.74</v>
      </c>
      <c r="I20" s="162">
        <v>1637476082.79</v>
      </c>
      <c r="J20" s="87">
        <f t="shared" si="9"/>
        <v>0</v>
      </c>
      <c r="K20" s="87">
        <v>1626253690.0500002</v>
      </c>
      <c r="L20" s="87">
        <v>11222392.74</v>
      </c>
      <c r="M20" s="87">
        <f t="shared" si="10"/>
        <v>1637476082.7900002</v>
      </c>
      <c r="N20" s="210">
        <f t="shared" si="7"/>
        <v>0</v>
      </c>
      <c r="O20" s="210">
        <f t="shared" si="7"/>
        <v>0</v>
      </c>
      <c r="P20" s="210">
        <f t="shared" si="7"/>
        <v>0</v>
      </c>
    </row>
    <row r="21" spans="2:16" ht="27.6">
      <c r="B21" s="87">
        <f>+[2]SFPe!D11</f>
        <v>217442602.38999999</v>
      </c>
      <c r="C21" s="210">
        <f t="shared" si="8"/>
        <v>0</v>
      </c>
      <c r="F21" s="330" t="s">
        <v>33</v>
      </c>
      <c r="G21" s="162">
        <v>217442602.38999999</v>
      </c>
      <c r="H21" s="333">
        <v>0</v>
      </c>
      <c r="I21" s="162">
        <v>217442602.38999999</v>
      </c>
      <c r="J21" s="87">
        <f t="shared" si="9"/>
        <v>0</v>
      </c>
      <c r="K21" s="87">
        <v>217442602.38999999</v>
      </c>
      <c r="L21" s="87">
        <v>0</v>
      </c>
      <c r="M21" s="87">
        <f t="shared" ref="M21:M22" si="11">SUM(K21:L21)</f>
        <v>217442602.38999999</v>
      </c>
      <c r="N21" s="210">
        <f t="shared" si="7"/>
        <v>0</v>
      </c>
      <c r="O21" s="210">
        <f t="shared" si="7"/>
        <v>0</v>
      </c>
      <c r="P21" s="210">
        <f t="shared" si="7"/>
        <v>0</v>
      </c>
    </row>
    <row r="22" spans="2:16">
      <c r="B22" s="87">
        <f>+[2]SFPe!D12</f>
        <v>4921062.93</v>
      </c>
      <c r="C22" s="210">
        <f t="shared" si="8"/>
        <v>1</v>
      </c>
      <c r="F22" s="330" t="s">
        <v>120</v>
      </c>
      <c r="G22" s="162">
        <v>4921063.93</v>
      </c>
      <c r="H22" s="333">
        <v>0</v>
      </c>
      <c r="I22" s="162">
        <v>4921063.93</v>
      </c>
      <c r="J22" s="87">
        <f t="shared" si="9"/>
        <v>0</v>
      </c>
      <c r="K22" s="87">
        <v>4921063.93</v>
      </c>
      <c r="L22" s="87">
        <v>0</v>
      </c>
      <c r="M22" s="87">
        <f t="shared" si="11"/>
        <v>4921063.93</v>
      </c>
      <c r="N22" s="210">
        <f t="shared" si="7"/>
        <v>0</v>
      </c>
      <c r="O22" s="210">
        <f t="shared" si="7"/>
        <v>0</v>
      </c>
      <c r="P22" s="210">
        <f t="shared" si="7"/>
        <v>0</v>
      </c>
    </row>
    <row r="23" spans="2:16" ht="15" thickBot="1">
      <c r="B23" s="87">
        <f>+[2]SFPe!D13</f>
        <v>182297445.56999999</v>
      </c>
      <c r="C23" s="210">
        <f t="shared" si="8"/>
        <v>-1.0099999904632568</v>
      </c>
      <c r="F23" s="330" t="s">
        <v>34</v>
      </c>
      <c r="G23" s="162">
        <v>182297444.56</v>
      </c>
      <c r="H23" s="333">
        <v>0</v>
      </c>
      <c r="I23" s="162">
        <v>182297444.56</v>
      </c>
      <c r="J23" s="87">
        <f t="shared" si="9"/>
        <v>0</v>
      </c>
      <c r="K23" s="87">
        <v>182297444.56</v>
      </c>
      <c r="L23" s="87">
        <v>0</v>
      </c>
      <c r="M23" s="87">
        <f>SUM(K23:L23)</f>
        <v>182297444.56</v>
      </c>
      <c r="N23" s="210">
        <f t="shared" si="7"/>
        <v>0</v>
      </c>
      <c r="O23" s="210">
        <f t="shared" si="7"/>
        <v>0</v>
      </c>
      <c r="P23" s="210">
        <f t="shared" si="7"/>
        <v>0</v>
      </c>
    </row>
    <row r="24" spans="2:16" ht="15" thickBot="1">
      <c r="F24" s="149" t="s">
        <v>35</v>
      </c>
      <c r="G24" s="334">
        <v>16498046051.049999</v>
      </c>
      <c r="H24" s="334">
        <v>3193506170.4299998</v>
      </c>
      <c r="I24" s="334">
        <v>19691552221.48</v>
      </c>
      <c r="J24" s="87">
        <f t="shared" si="9"/>
        <v>0</v>
      </c>
    </row>
    <row r="25" spans="2:16">
      <c r="G25" s="73">
        <f>SUM(G18:G23)</f>
        <v>16498046051.049999</v>
      </c>
      <c r="H25" s="73">
        <f t="shared" ref="H25:I25" si="12">SUM(H18:H23)</f>
        <v>3193506170.4299998</v>
      </c>
      <c r="I25" s="73">
        <f t="shared" si="12"/>
        <v>19691552221.48</v>
      </c>
    </row>
    <row r="26" spans="2:16">
      <c r="G26" s="329">
        <f>+G24-G25</f>
        <v>0</v>
      </c>
      <c r="H26" s="329">
        <f t="shared" ref="H26:I26" si="13">+H24-H25</f>
        <v>0</v>
      </c>
      <c r="I26" s="329">
        <f t="shared" si="13"/>
        <v>0</v>
      </c>
    </row>
  </sheetData>
  <mergeCells count="3">
    <mergeCell ref="F11:F12"/>
    <mergeCell ref="G11:G12"/>
    <mergeCell ref="H11:H12"/>
  </mergeCells>
  <conditionalFormatting sqref="C18:C23">
    <cfRule type="cellIs" dxfId="3" priority="1" operator="notEqual">
      <formula>0</formula>
    </cfRule>
  </conditionalFormatting>
  <conditionalFormatting sqref="N1:P1048576">
    <cfRule type="cellIs" dxfId="2" priority="2" operator="not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839F-A842-4403-A4E5-C0FAFF4439BF}">
  <dimension ref="A1:P26"/>
  <sheetViews>
    <sheetView workbookViewId="0">
      <selection activeCell="C656" sqref="C656"/>
    </sheetView>
  </sheetViews>
  <sheetFormatPr defaultRowHeight="14.4"/>
  <cols>
    <col min="1" max="1" width="22.44140625" customWidth="1"/>
    <col min="2" max="2" width="18.109375" customWidth="1"/>
    <col min="6" max="6" width="21.5546875" customWidth="1"/>
    <col min="7" max="7" width="18.44140625" bestFit="1" customWidth="1"/>
    <col min="8" max="9" width="19.109375" bestFit="1" customWidth="1"/>
    <col min="10" max="10" width="5.33203125" customWidth="1"/>
    <col min="11" max="13" width="18.33203125" style="87" customWidth="1"/>
    <col min="14" max="14" width="16.33203125" bestFit="1" customWidth="1"/>
    <col min="15" max="16" width="17.44140625" bestFit="1" customWidth="1"/>
  </cols>
  <sheetData>
    <row r="1" spans="1:16" ht="28.2" thickBot="1">
      <c r="A1" s="278"/>
      <c r="B1" s="75" t="s">
        <v>848</v>
      </c>
      <c r="C1" s="75" t="s">
        <v>849</v>
      </c>
      <c r="D1" s="75" t="s">
        <v>35</v>
      </c>
      <c r="F1" s="323" t="s">
        <v>64</v>
      </c>
      <c r="G1" s="323">
        <v>2022</v>
      </c>
      <c r="H1" s="323">
        <v>2021</v>
      </c>
      <c r="I1" s="323" t="s">
        <v>850</v>
      </c>
      <c r="K1" s="87" t="s">
        <v>851</v>
      </c>
      <c r="N1" t="s">
        <v>338</v>
      </c>
    </row>
    <row r="2" spans="1:16">
      <c r="A2" s="110" t="s">
        <v>852</v>
      </c>
      <c r="B2" s="77">
        <v>2</v>
      </c>
      <c r="C2" s="77">
        <v>38</v>
      </c>
      <c r="D2" s="77">
        <v>40</v>
      </c>
      <c r="F2" s="324" t="s">
        <v>853</v>
      </c>
      <c r="G2" s="180">
        <v>73694401449.639999</v>
      </c>
      <c r="H2" s="180">
        <v>66405910427.970001</v>
      </c>
      <c r="I2" s="180">
        <v>7288491021.6700001</v>
      </c>
      <c r="K2" s="87">
        <f>+[2]SFPo!D22</f>
        <v>73694401449.639999</v>
      </c>
      <c r="L2" s="87">
        <f>+[2]SFPo!E22</f>
        <v>66405910427.969658</v>
      </c>
      <c r="M2" s="87">
        <f>+K2-L2</f>
        <v>7288491021.6703415</v>
      </c>
      <c r="N2" s="210">
        <f>+G2-K2</f>
        <v>0</v>
      </c>
      <c r="O2" s="210">
        <f t="shared" ref="O2:P8" si="0">+H2-L2</f>
        <v>3.4332275390625E-4</v>
      </c>
      <c r="P2" s="210">
        <f t="shared" si="0"/>
        <v>-3.414154052734375E-4</v>
      </c>
    </row>
    <row r="3" spans="1:16">
      <c r="A3" s="110" t="s">
        <v>854</v>
      </c>
      <c r="B3" s="325">
        <v>8562</v>
      </c>
      <c r="C3" s="77">
        <v>125</v>
      </c>
      <c r="D3" s="325">
        <v>8687</v>
      </c>
      <c r="F3" s="324" t="s">
        <v>855</v>
      </c>
      <c r="G3" s="180">
        <v>26765129719.869999</v>
      </c>
      <c r="H3" s="180">
        <v>21960624079.689999</v>
      </c>
      <c r="I3" s="180">
        <v>4804505640.1800003</v>
      </c>
      <c r="K3" s="87">
        <f>+[2]SFPo!D37</f>
        <v>26765129719.870003</v>
      </c>
      <c r="L3" s="87">
        <f>+[2]SFPo!E37</f>
        <v>21960624079.689682</v>
      </c>
      <c r="M3" s="87">
        <f t="shared" ref="M3:M8" si="1">+K3-L3</f>
        <v>4804505640.1803207</v>
      </c>
      <c r="N3" s="210">
        <f t="shared" ref="N3:N8" si="2">+G3-K3</f>
        <v>0</v>
      </c>
      <c r="O3" s="210">
        <f t="shared" si="0"/>
        <v>3.16619873046875E-4</v>
      </c>
      <c r="P3" s="210">
        <f t="shared" si="0"/>
        <v>-3.204345703125E-4</v>
      </c>
    </row>
    <row r="4" spans="1:16">
      <c r="A4" s="110" t="s">
        <v>856</v>
      </c>
      <c r="B4" s="77">
        <v>35</v>
      </c>
      <c r="C4" s="77">
        <v>466</v>
      </c>
      <c r="D4" s="77">
        <v>501</v>
      </c>
      <c r="F4" s="324" t="s">
        <v>857</v>
      </c>
      <c r="G4" s="180">
        <v>46929271729.769997</v>
      </c>
      <c r="H4" s="180">
        <v>44445286348.279999</v>
      </c>
      <c r="I4" s="180">
        <v>2483985381.4899998</v>
      </c>
      <c r="K4" s="87">
        <f>+[2]SFPo!D40</f>
        <v>46929271729.769997</v>
      </c>
      <c r="L4" s="87">
        <f>+[2]SFPo!E40</f>
        <v>44445286348.279999</v>
      </c>
      <c r="M4" s="87">
        <f t="shared" si="1"/>
        <v>2483985381.4899979</v>
      </c>
      <c r="N4" s="210">
        <f t="shared" si="2"/>
        <v>0</v>
      </c>
      <c r="O4" s="210">
        <f t="shared" si="0"/>
        <v>0</v>
      </c>
      <c r="P4" s="210">
        <f t="shared" si="0"/>
        <v>0</v>
      </c>
    </row>
    <row r="5" spans="1:16">
      <c r="A5" s="110" t="s">
        <v>858</v>
      </c>
      <c r="B5" s="77">
        <v>75</v>
      </c>
      <c r="C5" s="77">
        <v>0</v>
      </c>
      <c r="D5" s="77">
        <v>75</v>
      </c>
      <c r="F5" s="324" t="s">
        <v>585</v>
      </c>
      <c r="G5" s="180">
        <v>19691552221.490002</v>
      </c>
      <c r="H5" s="180">
        <v>27137919982.939999</v>
      </c>
      <c r="I5" s="180">
        <v>-7446367761.4499998</v>
      </c>
      <c r="K5" s="87">
        <f>+[2]SFPe!D14</f>
        <v>19691552221.489998</v>
      </c>
      <c r="L5" s="87">
        <f>+[2]SFPe!E14</f>
        <v>27137919982.939995</v>
      </c>
      <c r="M5" s="87">
        <f t="shared" si="1"/>
        <v>-7446367761.4499969</v>
      </c>
      <c r="N5" s="210">
        <f t="shared" si="2"/>
        <v>0</v>
      </c>
      <c r="O5" s="210">
        <f t="shared" si="0"/>
        <v>0</v>
      </c>
      <c r="P5" s="210">
        <f t="shared" si="0"/>
        <v>0</v>
      </c>
    </row>
    <row r="6" spans="1:16">
      <c r="A6" s="110" t="s">
        <v>859</v>
      </c>
      <c r="B6" s="77">
        <v>308</v>
      </c>
      <c r="C6" s="77">
        <v>9</v>
      </c>
      <c r="D6" s="77">
        <v>317</v>
      </c>
      <c r="F6" s="324" t="s">
        <v>860</v>
      </c>
      <c r="G6" s="180">
        <v>16047340904.58</v>
      </c>
      <c r="H6" s="180">
        <v>22185034763.27</v>
      </c>
      <c r="I6" s="180">
        <v>-6137693858.6899996</v>
      </c>
      <c r="K6" s="87">
        <f>+[2]SFPe!D21</f>
        <v>16047340904.579998</v>
      </c>
      <c r="L6" s="87">
        <f>+[2]SFPe!E21</f>
        <v>22185034763.27</v>
      </c>
      <c r="M6" s="87">
        <f t="shared" si="1"/>
        <v>-6137693858.6900024</v>
      </c>
      <c r="N6" s="210">
        <f t="shared" si="2"/>
        <v>0</v>
      </c>
      <c r="O6" s="210">
        <f t="shared" si="0"/>
        <v>0</v>
      </c>
      <c r="P6" s="210">
        <f t="shared" si="0"/>
        <v>0</v>
      </c>
    </row>
    <row r="7" spans="1:16" ht="26.4">
      <c r="A7" s="110" t="s">
        <v>861</v>
      </c>
      <c r="B7" s="77">
        <v>0</v>
      </c>
      <c r="C7" s="77">
        <v>5</v>
      </c>
      <c r="D7" s="77">
        <v>5</v>
      </c>
      <c r="F7" s="324" t="s">
        <v>722</v>
      </c>
      <c r="G7" s="299">
        <v>28178905.449999999</v>
      </c>
      <c r="H7" s="299">
        <v>0</v>
      </c>
      <c r="I7" s="180">
        <v>28178905.449999999</v>
      </c>
      <c r="K7" s="87">
        <f>+[2]SFPe!D25</f>
        <v>28178905.449999999</v>
      </c>
      <c r="L7" s="87">
        <f>+[2]SFPe!E25</f>
        <v>0</v>
      </c>
      <c r="M7" s="87">
        <f t="shared" si="1"/>
        <v>28178905.449999999</v>
      </c>
      <c r="N7" s="210">
        <f t="shared" si="2"/>
        <v>0</v>
      </c>
      <c r="O7" s="210">
        <f t="shared" si="0"/>
        <v>0</v>
      </c>
      <c r="P7" s="210">
        <f t="shared" si="0"/>
        <v>0</v>
      </c>
    </row>
    <row r="8" spans="1:16" ht="26.4">
      <c r="A8" s="110" t="s">
        <v>862</v>
      </c>
      <c r="B8" s="325">
        <v>7044</v>
      </c>
      <c r="C8" s="325">
        <v>1195</v>
      </c>
      <c r="D8" s="325">
        <v>8239</v>
      </c>
      <c r="F8" s="324" t="s">
        <v>863</v>
      </c>
      <c r="G8" s="180">
        <v>1188404840.8699999</v>
      </c>
      <c r="H8" s="180">
        <v>580947870.27999997</v>
      </c>
      <c r="I8" s="180">
        <v>607456970.59000003</v>
      </c>
      <c r="K8" s="87">
        <f>-[2]SFPe!D27-[2]SFPe!D26</f>
        <v>1188404840.8699999</v>
      </c>
      <c r="L8" s="87">
        <f>-[2]SFPe!E27-[2]SFPe!E26</f>
        <v>580947870.27999997</v>
      </c>
      <c r="M8" s="87">
        <f t="shared" si="1"/>
        <v>607456970.58999991</v>
      </c>
      <c r="N8" s="210">
        <f t="shared" si="2"/>
        <v>0</v>
      </c>
      <c r="O8" s="210">
        <f t="shared" si="0"/>
        <v>0</v>
      </c>
      <c r="P8" s="210">
        <f t="shared" si="0"/>
        <v>0</v>
      </c>
    </row>
    <row r="9" spans="1:16">
      <c r="A9" s="110" t="s">
        <v>864</v>
      </c>
      <c r="B9" s="77">
        <v>140</v>
      </c>
      <c r="C9" s="77">
        <v>0</v>
      </c>
      <c r="D9" s="77">
        <v>140</v>
      </c>
    </row>
    <row r="10" spans="1:16" ht="15" thickBot="1">
      <c r="A10" s="111" t="s">
        <v>865</v>
      </c>
      <c r="B10" s="326">
        <v>1174</v>
      </c>
      <c r="C10" s="99">
        <v>0</v>
      </c>
      <c r="D10" s="326">
        <v>1174</v>
      </c>
    </row>
    <row r="11" spans="1:16" ht="15" thickBot="1">
      <c r="A11" s="158" t="s">
        <v>866</v>
      </c>
      <c r="B11" s="327">
        <v>17340</v>
      </c>
      <c r="C11" s="327">
        <v>1838</v>
      </c>
      <c r="D11" s="327">
        <v>19178</v>
      </c>
      <c r="F11" s="448" t="s">
        <v>64</v>
      </c>
      <c r="G11" s="448">
        <v>2022</v>
      </c>
      <c r="H11" s="448">
        <v>2021</v>
      </c>
      <c r="I11" s="328" t="s">
        <v>577</v>
      </c>
    </row>
    <row r="12" spans="1:16" ht="15" thickBot="1">
      <c r="B12">
        <f>SUM(B2:B10)</f>
        <v>17340</v>
      </c>
      <c r="C12">
        <f t="shared" ref="C12:D12" si="3">SUM(C2:C10)</f>
        <v>1838</v>
      </c>
      <c r="D12">
        <f t="shared" si="3"/>
        <v>19178</v>
      </c>
      <c r="F12" s="449"/>
      <c r="G12" s="449"/>
      <c r="H12" s="449"/>
      <c r="I12" s="148" t="s">
        <v>578</v>
      </c>
    </row>
    <row r="13" spans="1:16">
      <c r="B13" s="329">
        <f>+B11-B12</f>
        <v>0</v>
      </c>
      <c r="C13" s="329">
        <f t="shared" ref="C13:D13" si="4">+C11-C12</f>
        <v>0</v>
      </c>
      <c r="D13" s="329">
        <f t="shared" si="4"/>
        <v>0</v>
      </c>
      <c r="F13" s="330" t="s">
        <v>867</v>
      </c>
      <c r="G13" s="143">
        <v>26040437283.549999</v>
      </c>
      <c r="H13" s="143">
        <v>36456216237</v>
      </c>
      <c r="I13" s="143">
        <v>-10415778953.450001</v>
      </c>
      <c r="K13" s="87">
        <f>[2]SCBAA!H58</f>
        <v>26040437283.550003</v>
      </c>
      <c r="L13" s="87">
        <v>36456216237</v>
      </c>
      <c r="M13" s="87">
        <f t="shared" ref="M13:M14" si="5">+K13-L13</f>
        <v>-10415778953.449997</v>
      </c>
      <c r="N13" s="210">
        <f t="shared" ref="N13:P14" si="6">+G13-K13</f>
        <v>0</v>
      </c>
      <c r="O13" s="210">
        <f t="shared" si="6"/>
        <v>0</v>
      </c>
      <c r="P13" s="210">
        <f t="shared" si="6"/>
        <v>0</v>
      </c>
    </row>
    <row r="14" spans="1:16">
      <c r="F14" s="330" t="s">
        <v>868</v>
      </c>
      <c r="G14" s="143">
        <v>20506127301.880001</v>
      </c>
      <c r="H14" s="143">
        <v>20663633285.150002</v>
      </c>
      <c r="I14" s="143">
        <v>-157505983.27000001</v>
      </c>
      <c r="K14" s="87">
        <f>+[2]SCBAA!J58</f>
        <v>20506127301.880005</v>
      </c>
      <c r="L14" s="87">
        <v>20663633285.150002</v>
      </c>
      <c r="M14" s="87">
        <f t="shared" si="5"/>
        <v>-157505983.26999664</v>
      </c>
      <c r="N14" s="210">
        <f t="shared" si="6"/>
        <v>0</v>
      </c>
      <c r="O14" s="210">
        <f t="shared" si="6"/>
        <v>0</v>
      </c>
      <c r="P14" s="210">
        <f t="shared" si="6"/>
        <v>-3.3676624298095703E-6</v>
      </c>
    </row>
    <row r="16" spans="1:16" ht="15" thickBot="1"/>
    <row r="17" spans="2:16" ht="15" thickBot="1">
      <c r="B17" t="s">
        <v>869</v>
      </c>
      <c r="F17" s="332" t="s">
        <v>64</v>
      </c>
      <c r="G17" s="332" t="s">
        <v>353</v>
      </c>
      <c r="H17" s="149" t="s">
        <v>774</v>
      </c>
      <c r="I17" s="332" t="s">
        <v>870</v>
      </c>
      <c r="K17" s="87" t="s">
        <v>871</v>
      </c>
    </row>
    <row r="18" spans="2:16">
      <c r="B18" s="87">
        <f>+[2]SFPe!D8</f>
        <v>13046462540.809999</v>
      </c>
      <c r="C18" s="210">
        <f>+I18-B18</f>
        <v>0</v>
      </c>
      <c r="F18" s="330" t="s">
        <v>31</v>
      </c>
      <c r="G18" s="162">
        <v>9864178763.1200008</v>
      </c>
      <c r="H18" s="162">
        <v>3182283777.6900001</v>
      </c>
      <c r="I18" s="162">
        <v>13046462540.809999</v>
      </c>
      <c r="J18" s="87">
        <f>SUM(G18:H18)-I18</f>
        <v>0</v>
      </c>
      <c r="K18" s="87">
        <f>14467131250.12-K19</f>
        <v>9864178763.1200008</v>
      </c>
      <c r="L18" s="87">
        <v>3182283777.6899996</v>
      </c>
      <c r="M18" s="87">
        <f>SUM(K18:L18)</f>
        <v>13046462540.810001</v>
      </c>
      <c r="N18" s="210">
        <f t="shared" ref="N18:P23" si="7">+G18-K18</f>
        <v>0</v>
      </c>
      <c r="O18" s="210">
        <f t="shared" si="7"/>
        <v>0</v>
      </c>
      <c r="P18" s="210">
        <f t="shared" si="7"/>
        <v>0</v>
      </c>
    </row>
    <row r="19" spans="2:16" ht="27.6">
      <c r="B19" s="87">
        <f>[2]SFPe!D9</f>
        <v>4602952487</v>
      </c>
      <c r="C19" s="210">
        <f t="shared" ref="C19:C23" si="8">+I19-B19</f>
        <v>0</v>
      </c>
      <c r="F19" s="122" t="s">
        <v>126</v>
      </c>
      <c r="G19" s="162">
        <v>4602952487</v>
      </c>
      <c r="H19" s="333">
        <v>0</v>
      </c>
      <c r="I19" s="162">
        <v>4602952487</v>
      </c>
      <c r="J19" s="87">
        <f t="shared" ref="J19:J24" si="9">SUM(G19:H19)-I19</f>
        <v>0</v>
      </c>
      <c r="K19" s="87">
        <v>4602952487</v>
      </c>
      <c r="L19" s="87">
        <v>0</v>
      </c>
      <c r="M19" s="87">
        <f t="shared" ref="M19:M20" si="10">SUM(K19:L19)</f>
        <v>4602952487</v>
      </c>
      <c r="N19" s="210">
        <f t="shared" si="7"/>
        <v>0</v>
      </c>
      <c r="O19" s="210">
        <f t="shared" si="7"/>
        <v>0</v>
      </c>
      <c r="P19" s="210">
        <f t="shared" si="7"/>
        <v>0</v>
      </c>
    </row>
    <row r="20" spans="2:16" ht="27.6">
      <c r="B20" s="87">
        <f>+[2]SFPe!D10</f>
        <v>1637476082.79</v>
      </c>
      <c r="C20" s="210">
        <f t="shared" si="8"/>
        <v>0</v>
      </c>
      <c r="F20" s="122" t="s">
        <v>32</v>
      </c>
      <c r="G20" s="162">
        <v>1626253690.05</v>
      </c>
      <c r="H20" s="162">
        <v>11222392.74</v>
      </c>
      <c r="I20" s="162">
        <v>1637476082.79</v>
      </c>
      <c r="J20" s="87">
        <f t="shared" si="9"/>
        <v>0</v>
      </c>
      <c r="K20" s="87">
        <v>1626253690.0500002</v>
      </c>
      <c r="L20" s="87">
        <v>11222392.74</v>
      </c>
      <c r="M20" s="87">
        <f t="shared" si="10"/>
        <v>1637476082.7900002</v>
      </c>
      <c r="N20" s="210">
        <f t="shared" si="7"/>
        <v>0</v>
      </c>
      <c r="O20" s="210">
        <f t="shared" si="7"/>
        <v>0</v>
      </c>
      <c r="P20" s="210">
        <f t="shared" si="7"/>
        <v>0</v>
      </c>
    </row>
    <row r="21" spans="2:16" ht="27.6">
      <c r="B21" s="87">
        <f>+[2]SFPe!D11</f>
        <v>217442602.38999999</v>
      </c>
      <c r="C21" s="210">
        <f t="shared" si="8"/>
        <v>0</v>
      </c>
      <c r="F21" s="330" t="s">
        <v>33</v>
      </c>
      <c r="G21" s="162">
        <v>217442602.38999999</v>
      </c>
      <c r="H21" s="333">
        <v>0</v>
      </c>
      <c r="I21" s="162">
        <v>217442602.38999999</v>
      </c>
      <c r="J21" s="87">
        <f t="shared" si="9"/>
        <v>0</v>
      </c>
      <c r="K21" s="87">
        <v>217442602.38999999</v>
      </c>
      <c r="L21" s="87">
        <v>0</v>
      </c>
      <c r="M21" s="87">
        <f t="shared" ref="M21:M23" si="11">SUM(K21:L21)</f>
        <v>217442602.38999999</v>
      </c>
      <c r="N21" s="210">
        <f t="shared" si="7"/>
        <v>0</v>
      </c>
      <c r="O21" s="210">
        <f t="shared" si="7"/>
        <v>0</v>
      </c>
      <c r="P21" s="210">
        <f t="shared" si="7"/>
        <v>0</v>
      </c>
    </row>
    <row r="22" spans="2:16">
      <c r="B22" s="87">
        <f>+[2]SFPe!D12</f>
        <v>4921062.93</v>
      </c>
      <c r="C22" s="210">
        <f t="shared" si="8"/>
        <v>1</v>
      </c>
      <c r="F22" s="330" t="s">
        <v>120</v>
      </c>
      <c r="G22" s="162">
        <v>4921063.93</v>
      </c>
      <c r="H22" s="333">
        <v>0</v>
      </c>
      <c r="I22" s="162">
        <v>4921063.93</v>
      </c>
      <c r="J22" s="87">
        <f t="shared" si="9"/>
        <v>0</v>
      </c>
      <c r="K22" s="87">
        <v>4921063.93</v>
      </c>
      <c r="L22" s="87">
        <v>0</v>
      </c>
      <c r="M22" s="87">
        <f t="shared" si="11"/>
        <v>4921063.93</v>
      </c>
      <c r="N22" s="210">
        <f t="shared" si="7"/>
        <v>0</v>
      </c>
      <c r="O22" s="210">
        <f t="shared" si="7"/>
        <v>0</v>
      </c>
      <c r="P22" s="210">
        <f t="shared" si="7"/>
        <v>0</v>
      </c>
    </row>
    <row r="23" spans="2:16" ht="15" thickBot="1">
      <c r="B23" s="87">
        <f>+[2]SFPe!D13</f>
        <v>182297445.56999999</v>
      </c>
      <c r="C23" s="210">
        <f t="shared" si="8"/>
        <v>-1</v>
      </c>
      <c r="F23" s="330" t="s">
        <v>34</v>
      </c>
      <c r="G23" s="162">
        <v>182297444.56999999</v>
      </c>
      <c r="H23" s="333">
        <v>0</v>
      </c>
      <c r="I23" s="162">
        <v>182297444.56999999</v>
      </c>
      <c r="J23" s="87">
        <f t="shared" si="9"/>
        <v>0</v>
      </c>
      <c r="K23" s="87">
        <v>182297444.56999999</v>
      </c>
      <c r="L23" s="87">
        <v>0</v>
      </c>
      <c r="M23" s="87">
        <f t="shared" si="11"/>
        <v>182297444.56999999</v>
      </c>
      <c r="N23" s="210">
        <f t="shared" si="7"/>
        <v>0</v>
      </c>
      <c r="O23" s="210">
        <f t="shared" si="7"/>
        <v>0</v>
      </c>
      <c r="P23" s="210">
        <f t="shared" si="7"/>
        <v>0</v>
      </c>
    </row>
    <row r="24" spans="2:16" ht="15" thickBot="1">
      <c r="F24" s="149" t="s">
        <v>35</v>
      </c>
      <c r="G24" s="334">
        <v>16498046051.059999</v>
      </c>
      <c r="H24" s="334">
        <v>3193506170.4299998</v>
      </c>
      <c r="I24" s="334">
        <v>19691552221.490002</v>
      </c>
      <c r="J24" s="87">
        <f t="shared" si="9"/>
        <v>0</v>
      </c>
    </row>
    <row r="25" spans="2:16">
      <c r="G25" s="73">
        <f>SUM(G18:G23)</f>
        <v>16498046051.059999</v>
      </c>
      <c r="H25" s="73">
        <f t="shared" ref="H25:I25" si="12">SUM(H18:H23)</f>
        <v>3193506170.4299998</v>
      </c>
      <c r="I25" s="73">
        <f t="shared" si="12"/>
        <v>19691552221.489998</v>
      </c>
    </row>
    <row r="26" spans="2:16">
      <c r="G26" s="329">
        <f>+G24-G25</f>
        <v>0</v>
      </c>
      <c r="H26" s="329">
        <f t="shared" ref="H26:I26" si="13">+H24-H25</f>
        <v>0</v>
      </c>
      <c r="I26" s="329">
        <f t="shared" si="13"/>
        <v>0</v>
      </c>
    </row>
  </sheetData>
  <mergeCells count="3">
    <mergeCell ref="F11:F12"/>
    <mergeCell ref="G11:G12"/>
    <mergeCell ref="H11:H12"/>
  </mergeCells>
  <conditionalFormatting sqref="C18:C23">
    <cfRule type="cellIs" dxfId="1" priority="1" operator="notEqual">
      <formula>0</formula>
    </cfRule>
  </conditionalFormatting>
  <conditionalFormatting sqref="N1:P1048576">
    <cfRule type="cellIs" dxfId="0" priority="2" operator="not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6746-00F6-4915-AAE9-14547910115F}">
  <dimension ref="A1:H189"/>
  <sheetViews>
    <sheetView workbookViewId="0">
      <selection activeCell="C656" sqref="C656"/>
    </sheetView>
  </sheetViews>
  <sheetFormatPr defaultRowHeight="14.4"/>
  <cols>
    <col min="1" max="1" width="46.5546875" customWidth="1"/>
    <col min="2" max="4" width="19.33203125" customWidth="1"/>
    <col min="5" max="5" width="16.109375" style="87" bestFit="1" customWidth="1"/>
    <col min="6" max="6" width="17.33203125" bestFit="1" customWidth="1"/>
    <col min="7" max="7" width="17.33203125" style="87" bestFit="1" customWidth="1"/>
    <col min="8" max="8" width="25" bestFit="1" customWidth="1"/>
  </cols>
  <sheetData>
    <row r="1" spans="1:7" ht="15" thickBot="1">
      <c r="A1" s="223" t="s">
        <v>723</v>
      </c>
    </row>
    <row r="2" spans="1:7">
      <c r="A2" s="457" t="s">
        <v>724</v>
      </c>
      <c r="B2" s="457" t="s">
        <v>385</v>
      </c>
      <c r="C2" s="457"/>
      <c r="D2" s="457" t="s">
        <v>35</v>
      </c>
    </row>
    <row r="3" spans="1:7" ht="27" thickBot="1">
      <c r="A3" s="458"/>
      <c r="B3" s="224" t="s">
        <v>725</v>
      </c>
      <c r="C3" s="224" t="s">
        <v>726</v>
      </c>
      <c r="D3" s="458"/>
    </row>
    <row r="4" spans="1:7">
      <c r="A4" s="225" t="s">
        <v>727</v>
      </c>
      <c r="B4" s="226">
        <v>25857318.399999999</v>
      </c>
      <c r="C4" s="227">
        <v>0</v>
      </c>
      <c r="D4" s="226">
        <v>25857318.399999999</v>
      </c>
      <c r="E4" s="87">
        <f>SUM(B4:C4)</f>
        <v>25857318.399999999</v>
      </c>
    </row>
    <row r="5" spans="1:7">
      <c r="A5" s="225" t="s">
        <v>579</v>
      </c>
      <c r="B5" s="227">
        <v>0</v>
      </c>
      <c r="C5" s="227">
        <v>0</v>
      </c>
      <c r="D5" s="227">
        <v>0</v>
      </c>
      <c r="E5" s="87">
        <f t="shared" ref="E5:E17" si="0">SUM(B5:C5)</f>
        <v>0</v>
      </c>
    </row>
    <row r="6" spans="1:7">
      <c r="A6" s="225" t="s">
        <v>728</v>
      </c>
      <c r="B6" s="226">
        <v>73820390.659999996</v>
      </c>
      <c r="C6" s="227">
        <v>0</v>
      </c>
      <c r="D6" s="226">
        <v>73820390.659999996</v>
      </c>
      <c r="E6" s="87">
        <f t="shared" si="0"/>
        <v>73820390.659999996</v>
      </c>
    </row>
    <row r="7" spans="1:7">
      <c r="A7" s="225" t="s">
        <v>729</v>
      </c>
      <c r="B7" s="228">
        <v>1530567</v>
      </c>
      <c r="C7" s="227">
        <v>0</v>
      </c>
      <c r="D7" s="226">
        <v>1530567</v>
      </c>
      <c r="E7" s="87">
        <f t="shared" si="0"/>
        <v>1530567</v>
      </c>
    </row>
    <row r="8" spans="1:7">
      <c r="A8" s="225" t="s">
        <v>581</v>
      </c>
      <c r="B8" s="228">
        <v>1406700</v>
      </c>
      <c r="C8" s="227">
        <v>0</v>
      </c>
      <c r="D8" s="226">
        <v>1406700</v>
      </c>
      <c r="E8" s="87">
        <f t="shared" si="0"/>
        <v>1406700</v>
      </c>
    </row>
    <row r="9" spans="1:7">
      <c r="A9" s="225" t="s">
        <v>730</v>
      </c>
      <c r="B9" s="226">
        <v>5074926.4000000004</v>
      </c>
      <c r="C9" s="227">
        <v>0</v>
      </c>
      <c r="D9" s="226">
        <v>5074926.4000000004</v>
      </c>
      <c r="E9" s="87">
        <f t="shared" si="0"/>
        <v>5074926.4000000004</v>
      </c>
    </row>
    <row r="10" spans="1:7">
      <c r="A10" s="225" t="s">
        <v>247</v>
      </c>
      <c r="B10" s="226">
        <v>20549093.34</v>
      </c>
      <c r="C10" s="227">
        <v>0</v>
      </c>
      <c r="D10" s="226">
        <v>20549093.34</v>
      </c>
      <c r="E10" s="87">
        <f t="shared" si="0"/>
        <v>20549093.34</v>
      </c>
    </row>
    <row r="11" spans="1:7">
      <c r="A11" s="225" t="s">
        <v>248</v>
      </c>
      <c r="B11" s="226">
        <v>249623451.59</v>
      </c>
      <c r="C11" s="227">
        <v>0</v>
      </c>
      <c r="D11" s="226">
        <v>249623451.59</v>
      </c>
      <c r="E11" s="87">
        <f t="shared" si="0"/>
        <v>249623451.59</v>
      </c>
      <c r="G11" s="87">
        <f>+D11</f>
        <v>249623451.59</v>
      </c>
    </row>
    <row r="12" spans="1:7">
      <c r="A12" s="229" t="s">
        <v>731</v>
      </c>
      <c r="B12" s="226">
        <v>347457915.43000001</v>
      </c>
      <c r="C12" s="227">
        <v>0</v>
      </c>
      <c r="D12" s="226">
        <v>347457915.43000001</v>
      </c>
      <c r="E12" s="87">
        <f t="shared" si="0"/>
        <v>347457915.43000001</v>
      </c>
      <c r="G12" s="87">
        <f>+D12</f>
        <v>347457915.43000001</v>
      </c>
    </row>
    <row r="13" spans="1:7">
      <c r="A13" s="229" t="s">
        <v>732</v>
      </c>
      <c r="B13" s="226">
        <v>41029728.530000001</v>
      </c>
      <c r="C13" s="227">
        <v>0</v>
      </c>
      <c r="D13" s="226">
        <v>41029728.530000001</v>
      </c>
      <c r="E13" s="87">
        <f t="shared" si="0"/>
        <v>41029728.530000001</v>
      </c>
    </row>
    <row r="14" spans="1:7">
      <c r="A14" s="229" t="s">
        <v>733</v>
      </c>
      <c r="B14" s="227">
        <v>0</v>
      </c>
      <c r="C14" s="226">
        <v>160992664.16</v>
      </c>
      <c r="D14" s="226">
        <v>160992664.16</v>
      </c>
      <c r="E14" s="87">
        <f t="shared" si="0"/>
        <v>160992664.16</v>
      </c>
      <c r="G14" s="87">
        <f>+D14</f>
        <v>160992664.16</v>
      </c>
    </row>
    <row r="15" spans="1:7">
      <c r="A15" s="225" t="s">
        <v>734</v>
      </c>
      <c r="B15" s="226">
        <v>17552498.670000002</v>
      </c>
      <c r="C15" s="227">
        <v>0</v>
      </c>
      <c r="D15" s="226">
        <v>17552498.670000002</v>
      </c>
      <c r="E15" s="87">
        <f t="shared" si="0"/>
        <v>17552498.670000002</v>
      </c>
    </row>
    <row r="16" spans="1:7">
      <c r="A16" s="230" t="s">
        <v>735</v>
      </c>
      <c r="B16" s="227">
        <v>0</v>
      </c>
      <c r="C16" s="227">
        <v>0</v>
      </c>
      <c r="D16" s="227">
        <v>0</v>
      </c>
      <c r="E16" s="87">
        <f t="shared" si="0"/>
        <v>0</v>
      </c>
    </row>
    <row r="17" spans="1:8" ht="15" thickBot="1">
      <c r="A17" s="231" t="s">
        <v>736</v>
      </c>
      <c r="B17" s="232">
        <v>247693972.94999999</v>
      </c>
      <c r="C17" s="232">
        <v>134887089.15000001</v>
      </c>
      <c r="D17" s="232">
        <v>382581062.10000002</v>
      </c>
      <c r="E17" s="87">
        <f t="shared" si="0"/>
        <v>382581062.10000002</v>
      </c>
      <c r="G17" s="87">
        <f>+D17</f>
        <v>382581062.10000002</v>
      </c>
    </row>
    <row r="18" spans="1:8" ht="15" thickBot="1">
      <c r="A18" s="233" t="s">
        <v>737</v>
      </c>
      <c r="B18" s="234">
        <v>1031596562.97</v>
      </c>
      <c r="C18" s="234">
        <v>295879753.31</v>
      </c>
      <c r="D18" s="234">
        <v>1327476316.28</v>
      </c>
      <c r="E18" s="87">
        <f>SUM(E4:E17)</f>
        <v>1327476316.2799997</v>
      </c>
      <c r="G18" s="87">
        <f>SUM(G4:G17)</f>
        <v>1140655093.28</v>
      </c>
    </row>
    <row r="19" spans="1:8" ht="15" thickBot="1">
      <c r="A19" s="235" t="s">
        <v>9</v>
      </c>
      <c r="B19" s="236" t="s">
        <v>468</v>
      </c>
      <c r="C19" s="236" t="s">
        <v>468</v>
      </c>
      <c r="D19" s="237">
        <v>33050765281.73</v>
      </c>
      <c r="E19" s="87">
        <f>+E18-D18</f>
        <v>0</v>
      </c>
      <c r="F19">
        <f>+D19-G19</f>
        <v>0</v>
      </c>
      <c r="G19" s="87">
        <f>+[3]SFPo!D14</f>
        <v>33050765281.729996</v>
      </c>
      <c r="H19" s="238" t="s">
        <v>738</v>
      </c>
    </row>
    <row r="20" spans="1:8" ht="15" thickBot="1">
      <c r="A20" s="235" t="s">
        <v>739</v>
      </c>
      <c r="B20" s="236" t="s">
        <v>468</v>
      </c>
      <c r="C20" s="236" t="s">
        <v>468</v>
      </c>
      <c r="D20" s="236">
        <v>4.0199999999999996</v>
      </c>
      <c r="E20" s="87">
        <f>+[3]SFPo!D12</f>
        <v>1327476316.2799997</v>
      </c>
      <c r="F20" s="238" t="s">
        <v>738</v>
      </c>
      <c r="G20" s="91">
        <f>+G18/E18</f>
        <v>0.8592658711053085</v>
      </c>
    </row>
    <row r="21" spans="1:8">
      <c r="E21" s="87">
        <f>+E18-E20</f>
        <v>0</v>
      </c>
    </row>
    <row r="22" spans="1:8" ht="27.6" customHeight="1">
      <c r="A22" s="459" t="s">
        <v>740</v>
      </c>
      <c r="B22" s="459"/>
      <c r="C22" s="143">
        <v>35521926.899999999</v>
      </c>
      <c r="D22" s="73">
        <f>C22</f>
        <v>35521926.899999999</v>
      </c>
    </row>
    <row r="23" spans="1:8">
      <c r="A23" s="460" t="s">
        <v>741</v>
      </c>
      <c r="B23" s="460"/>
      <c r="C23" s="147"/>
    </row>
    <row r="24" spans="1:8">
      <c r="A24" s="239" t="s">
        <v>241</v>
      </c>
      <c r="B24" s="143">
        <v>95800</v>
      </c>
      <c r="C24" s="147"/>
    </row>
    <row r="25" spans="1:8">
      <c r="A25" s="239" t="s">
        <v>583</v>
      </c>
      <c r="B25" s="143">
        <v>477500</v>
      </c>
      <c r="C25" s="147"/>
    </row>
    <row r="26" spans="1:8" ht="15" thickBot="1">
      <c r="A26" s="240" t="s">
        <v>742</v>
      </c>
      <c r="B26" s="146">
        <v>2354000</v>
      </c>
      <c r="C26" s="146">
        <v>2927300</v>
      </c>
      <c r="D26" s="73">
        <f>SUM(B24:B26)</f>
        <v>2927300</v>
      </c>
    </row>
    <row r="27" spans="1:8" ht="15" thickBot="1">
      <c r="A27" s="241" t="s">
        <v>743</v>
      </c>
      <c r="B27" s="127"/>
      <c r="C27" s="145">
        <v>32594626.899999999</v>
      </c>
      <c r="D27" s="73">
        <f>D22-D26</f>
        <v>32594626.899999999</v>
      </c>
      <c r="E27" s="87">
        <f>C27-D27</f>
        <v>0</v>
      </c>
    </row>
    <row r="28" spans="1:8" ht="15" thickBot="1"/>
    <row r="29" spans="1:8" ht="24.6" thickBot="1">
      <c r="A29" s="242" t="s">
        <v>744</v>
      </c>
      <c r="B29" s="242" t="s">
        <v>745</v>
      </c>
      <c r="C29" s="242" t="s">
        <v>746</v>
      </c>
      <c r="D29" s="242" t="s">
        <v>747</v>
      </c>
    </row>
    <row r="30" spans="1:8">
      <c r="A30" s="225" t="s">
        <v>240</v>
      </c>
      <c r="B30" s="243">
        <v>25857318.399999999</v>
      </c>
      <c r="C30" s="244">
        <v>0</v>
      </c>
      <c r="D30" s="243">
        <v>25857318.399999999</v>
      </c>
      <c r="E30" s="87">
        <f>+B30-C30</f>
        <v>25857318.399999999</v>
      </c>
      <c r="F30" s="210">
        <f>+D30-E30</f>
        <v>0</v>
      </c>
    </row>
    <row r="31" spans="1:8">
      <c r="A31" s="225" t="s">
        <v>729</v>
      </c>
      <c r="B31" s="243">
        <v>1530567</v>
      </c>
      <c r="C31" s="243">
        <v>1530567</v>
      </c>
      <c r="D31" s="244">
        <v>0</v>
      </c>
      <c r="E31" s="87">
        <f t="shared" ref="E31:E43" si="1">+B31-C31</f>
        <v>0</v>
      </c>
      <c r="F31" s="210">
        <f t="shared" ref="F31:F45" si="2">+D31-E31</f>
        <v>0</v>
      </c>
    </row>
    <row r="32" spans="1:8">
      <c r="A32" s="225" t="s">
        <v>581</v>
      </c>
      <c r="B32" s="243">
        <v>1406700</v>
      </c>
      <c r="C32" s="243">
        <v>1406700</v>
      </c>
      <c r="D32" s="244">
        <v>0</v>
      </c>
      <c r="E32" s="87">
        <f t="shared" si="1"/>
        <v>0</v>
      </c>
      <c r="F32" s="210">
        <f t="shared" si="2"/>
        <v>0</v>
      </c>
    </row>
    <row r="33" spans="1:6">
      <c r="A33" s="225" t="s">
        <v>748</v>
      </c>
      <c r="B33" s="243">
        <v>5074926.4000000004</v>
      </c>
      <c r="C33" s="243">
        <v>5074926.4000000004</v>
      </c>
      <c r="D33" s="244">
        <v>0</v>
      </c>
      <c r="E33" s="87">
        <f t="shared" si="1"/>
        <v>0</v>
      </c>
      <c r="F33" s="210">
        <f t="shared" si="2"/>
        <v>0</v>
      </c>
    </row>
    <row r="34" spans="1:6">
      <c r="A34" s="225" t="s">
        <v>247</v>
      </c>
      <c r="B34" s="243">
        <v>20549093.34</v>
      </c>
      <c r="C34" s="243">
        <v>20549093.34</v>
      </c>
      <c r="D34" s="244">
        <v>0</v>
      </c>
      <c r="E34" s="87">
        <f t="shared" si="1"/>
        <v>0</v>
      </c>
      <c r="F34" s="210">
        <f t="shared" si="2"/>
        <v>0</v>
      </c>
    </row>
    <row r="35" spans="1:6">
      <c r="A35" s="225" t="s">
        <v>248</v>
      </c>
      <c r="B35" s="243">
        <v>249623451.59</v>
      </c>
      <c r="C35" s="243">
        <v>249623451.59</v>
      </c>
      <c r="D35" s="244">
        <v>0</v>
      </c>
      <c r="E35" s="87">
        <f t="shared" si="1"/>
        <v>0</v>
      </c>
      <c r="F35" s="210">
        <f t="shared" si="2"/>
        <v>0</v>
      </c>
    </row>
    <row r="36" spans="1:6">
      <c r="A36" s="229" t="s">
        <v>582</v>
      </c>
      <c r="B36" s="243">
        <v>347457915.43000001</v>
      </c>
      <c r="C36" s="243">
        <v>345342107.43000001</v>
      </c>
      <c r="D36" s="243">
        <v>2115808</v>
      </c>
      <c r="E36" s="87">
        <f t="shared" si="1"/>
        <v>2115808</v>
      </c>
      <c r="F36" s="210">
        <f t="shared" si="2"/>
        <v>0</v>
      </c>
    </row>
    <row r="37" spans="1:6">
      <c r="A37" s="229" t="s">
        <v>749</v>
      </c>
      <c r="B37" s="243">
        <v>160992664.16</v>
      </c>
      <c r="C37" s="243">
        <v>154017164.16</v>
      </c>
      <c r="D37" s="243">
        <v>6975500</v>
      </c>
      <c r="E37" s="87">
        <f t="shared" si="1"/>
        <v>6975500</v>
      </c>
      <c r="F37" s="210">
        <f t="shared" si="2"/>
        <v>0</v>
      </c>
    </row>
    <row r="38" spans="1:6">
      <c r="A38" s="225" t="s">
        <v>750</v>
      </c>
      <c r="B38" s="243">
        <v>17552498.670000002</v>
      </c>
      <c r="C38" s="243">
        <v>17552498.670000002</v>
      </c>
      <c r="D38" s="244">
        <v>0</v>
      </c>
      <c r="E38" s="87">
        <f t="shared" si="1"/>
        <v>0</v>
      </c>
      <c r="F38" s="210">
        <f t="shared" si="2"/>
        <v>0</v>
      </c>
    </row>
    <row r="39" spans="1:6" ht="15" thickBot="1">
      <c r="A39" s="231" t="s">
        <v>584</v>
      </c>
      <c r="B39" s="245">
        <v>382581062.10000002</v>
      </c>
      <c r="C39" s="245">
        <v>382007761.60000002</v>
      </c>
      <c r="D39" s="245">
        <v>573300.5</v>
      </c>
      <c r="E39" s="87">
        <f t="shared" si="1"/>
        <v>573300.5</v>
      </c>
      <c r="F39" s="210">
        <f t="shared" si="2"/>
        <v>0</v>
      </c>
    </row>
    <row r="40" spans="1:6" ht="15" thickBot="1">
      <c r="A40" s="233" t="s">
        <v>751</v>
      </c>
      <c r="B40" s="246"/>
      <c r="C40" s="246"/>
      <c r="D40" s="247">
        <v>35521926.899999999</v>
      </c>
      <c r="E40" s="87">
        <f>SUM(E30:E39)</f>
        <v>35521926.899999999</v>
      </c>
      <c r="F40" s="210">
        <f t="shared" si="2"/>
        <v>0</v>
      </c>
    </row>
    <row r="41" spans="1:6">
      <c r="A41" s="229" t="s">
        <v>241</v>
      </c>
      <c r="B41" s="243">
        <v>73820390.659999996</v>
      </c>
      <c r="C41" s="243">
        <v>73916190.659999996</v>
      </c>
      <c r="D41" s="243">
        <v>-95800</v>
      </c>
      <c r="E41" s="87">
        <f t="shared" si="1"/>
        <v>-95800</v>
      </c>
      <c r="F41" s="210">
        <f t="shared" si="2"/>
        <v>0</v>
      </c>
    </row>
    <row r="42" spans="1:6">
      <c r="A42" s="225" t="s">
        <v>583</v>
      </c>
      <c r="B42" s="243">
        <v>41029728.530000001</v>
      </c>
      <c r="C42" s="243">
        <v>41507228.530000001</v>
      </c>
      <c r="D42" s="243">
        <v>-477500</v>
      </c>
      <c r="E42" s="87">
        <f t="shared" si="1"/>
        <v>-477500</v>
      </c>
      <c r="F42" s="210">
        <f t="shared" si="2"/>
        <v>0</v>
      </c>
    </row>
    <row r="43" spans="1:6" ht="15" thickBot="1">
      <c r="A43" s="231" t="s">
        <v>742</v>
      </c>
      <c r="B43" s="246">
        <v>0</v>
      </c>
      <c r="C43" s="245">
        <v>2354000</v>
      </c>
      <c r="D43" s="245">
        <v>-2354000</v>
      </c>
      <c r="E43" s="87">
        <f t="shared" si="1"/>
        <v>-2354000</v>
      </c>
      <c r="F43" s="210">
        <f t="shared" si="2"/>
        <v>0</v>
      </c>
    </row>
    <row r="44" spans="1:6" ht="15" thickBot="1">
      <c r="A44" s="233" t="s">
        <v>752</v>
      </c>
      <c r="B44" s="246"/>
      <c r="C44" s="246"/>
      <c r="D44" s="247">
        <v>-2927300</v>
      </c>
      <c r="E44" s="87">
        <f>SUM(E41:E43)</f>
        <v>-2927300</v>
      </c>
      <c r="F44" s="210">
        <f t="shared" si="2"/>
        <v>0</v>
      </c>
    </row>
    <row r="45" spans="1:6" ht="15" thickBot="1">
      <c r="A45" s="233" t="s">
        <v>753</v>
      </c>
      <c r="B45" s="248">
        <v>1327476316.28</v>
      </c>
      <c r="C45" s="247">
        <v>1294881689.3800001</v>
      </c>
      <c r="D45" s="247">
        <v>32594626.899999999</v>
      </c>
      <c r="E45" s="87">
        <f>E40+E44</f>
        <v>32594626.899999999</v>
      </c>
      <c r="F45" s="210">
        <f t="shared" si="2"/>
        <v>0</v>
      </c>
    </row>
    <row r="46" spans="1:6">
      <c r="B46" s="87">
        <f>SUM(B30:B44)</f>
        <v>1327476316.2800002</v>
      </c>
      <c r="C46" s="87">
        <f>SUM(C30:C44)</f>
        <v>1294881689.3800001</v>
      </c>
    </row>
    <row r="47" spans="1:6">
      <c r="B47" s="87">
        <f>+B45-B46</f>
        <v>0</v>
      </c>
      <c r="C47" s="87">
        <f>+C45-C46</f>
        <v>0</v>
      </c>
    </row>
    <row r="48" spans="1:6">
      <c r="B48" s="87">
        <f>[3]SFPo!D12</f>
        <v>1327476316.2799997</v>
      </c>
    </row>
    <row r="49" spans="1:8">
      <c r="B49" s="87">
        <f>+B46-B48</f>
        <v>0</v>
      </c>
    </row>
    <row r="50" spans="1:8">
      <c r="B50" s="87"/>
    </row>
    <row r="52" spans="1:8" ht="15" thickBot="1"/>
    <row r="53" spans="1:8" ht="15" thickBot="1">
      <c r="A53" s="249" t="s">
        <v>64</v>
      </c>
      <c r="B53" s="249" t="s">
        <v>754</v>
      </c>
      <c r="C53" s="249" t="s">
        <v>755</v>
      </c>
      <c r="D53" s="250" t="s">
        <v>756</v>
      </c>
    </row>
    <row r="54" spans="1:8">
      <c r="A54" s="251" t="s">
        <v>757</v>
      </c>
      <c r="B54" s="252">
        <v>7024061617.4899998</v>
      </c>
      <c r="C54" s="252">
        <v>3514868582.1500001</v>
      </c>
      <c r="D54" s="73">
        <f>[3]NFS!D58</f>
        <v>8858945073.9500008</v>
      </c>
      <c r="E54" s="87">
        <f>+[3]NFS!D59</f>
        <v>5783663307.7299995</v>
      </c>
      <c r="F54" s="253">
        <f>+B54-D54</f>
        <v>-1834883456.460001</v>
      </c>
      <c r="G54" s="253">
        <f>+C54-E54</f>
        <v>-2268794725.5799994</v>
      </c>
      <c r="H54" s="306" t="s">
        <v>824</v>
      </c>
    </row>
    <row r="55" spans="1:8">
      <c r="A55" s="251" t="s">
        <v>758</v>
      </c>
      <c r="B55" s="180">
        <v>1865387013.03</v>
      </c>
      <c r="C55" s="180">
        <v>2791530036.4699998</v>
      </c>
    </row>
    <row r="56" spans="1:8" ht="15" thickBot="1">
      <c r="A56" s="254" t="s">
        <v>759</v>
      </c>
      <c r="B56" s="181">
        <v>6400604479.8500004</v>
      </c>
      <c r="C56" s="181">
        <v>1748605898.8399999</v>
      </c>
    </row>
    <row r="57" spans="1:8" ht="15" thickBot="1">
      <c r="A57" s="255" t="s">
        <v>35</v>
      </c>
      <c r="B57" s="181">
        <v>15290053110.370001</v>
      </c>
      <c r="C57" s="181">
        <v>8055004517.46</v>
      </c>
      <c r="D57" s="73">
        <f>SUM(B54:B56)</f>
        <v>15290053110.370001</v>
      </c>
      <c r="E57" s="73">
        <f>SUM(C54:C56)</f>
        <v>8055004517.46</v>
      </c>
      <c r="F57" s="73">
        <f>+B57-D57</f>
        <v>0</v>
      </c>
      <c r="G57" s="73">
        <f>+C57-E57</f>
        <v>0</v>
      </c>
    </row>
    <row r="58" spans="1:8">
      <c r="A58" s="256" t="s">
        <v>760</v>
      </c>
      <c r="B58" s="257">
        <v>-921057005.75</v>
      </c>
      <c r="C58" s="257">
        <v>-473804726.31</v>
      </c>
    </row>
    <row r="59" spans="1:8">
      <c r="A59" s="251" t="s">
        <v>761</v>
      </c>
      <c r="B59" s="257">
        <v>-36383953.759999998</v>
      </c>
      <c r="C59" s="257">
        <v>-18126733.629999999</v>
      </c>
    </row>
    <row r="60" spans="1:8" ht="15" thickBot="1">
      <c r="A60" s="251" t="s">
        <v>762</v>
      </c>
      <c r="B60" s="180">
        <v>-2944540518.5900002</v>
      </c>
      <c r="C60" s="180">
        <v>-1622171452.0899999</v>
      </c>
    </row>
    <row r="61" spans="1:8" ht="15" thickBot="1">
      <c r="A61" s="258" t="s">
        <v>763</v>
      </c>
      <c r="B61" s="259">
        <v>11388071632.27</v>
      </c>
      <c r="C61" s="259">
        <v>5940901605.4300003</v>
      </c>
      <c r="D61" s="73">
        <f>+[3]NFS!C58</f>
        <v>11388071632.27</v>
      </c>
      <c r="E61" s="87">
        <f>+[3]NFS!C59</f>
        <v>5940901605.4300003</v>
      </c>
      <c r="F61" s="73">
        <f>+B61-D61</f>
        <v>0</v>
      </c>
      <c r="G61" s="73">
        <f>+C61-E61</f>
        <v>0</v>
      </c>
    </row>
    <row r="62" spans="1:8" ht="15" thickBot="1">
      <c r="A62" s="254"/>
      <c r="B62" s="254"/>
      <c r="C62" s="254"/>
      <c r="D62" s="73">
        <f>SUM(B57:B60)</f>
        <v>11388071632.27</v>
      </c>
      <c r="E62" s="73">
        <f>SUM(C57:C60)</f>
        <v>5940901605.4299994</v>
      </c>
      <c r="F62" s="73">
        <f>+B61-D62</f>
        <v>0</v>
      </c>
      <c r="G62" s="73">
        <f>+C61-E62</f>
        <v>0</v>
      </c>
    </row>
    <row r="63" spans="1:8" ht="24.6" customHeight="1">
      <c r="A63" s="260"/>
      <c r="B63" s="461" t="s">
        <v>764</v>
      </c>
      <c r="C63" s="461" t="s">
        <v>765</v>
      </c>
    </row>
    <row r="64" spans="1:8" ht="15" thickBot="1">
      <c r="A64" s="224" t="s">
        <v>64</v>
      </c>
      <c r="B64" s="462"/>
      <c r="C64" s="462"/>
    </row>
    <row r="65" spans="1:8">
      <c r="A65" s="251" t="s">
        <v>766</v>
      </c>
      <c r="B65" s="252">
        <v>2953796013.1599998</v>
      </c>
      <c r="C65" s="252">
        <v>1677008745.95</v>
      </c>
      <c r="D65" s="73">
        <f>+[3]NFS!D359</f>
        <v>2180293901.6399999</v>
      </c>
      <c r="E65" s="87">
        <f>+[3]NFS!D360</f>
        <v>725914794.02999997</v>
      </c>
      <c r="F65" s="253">
        <f>+B65-D65</f>
        <v>773502111.51999998</v>
      </c>
      <c r="G65" s="253">
        <f>+C65-E65</f>
        <v>951093951.92000008</v>
      </c>
      <c r="H65" s="306" t="s">
        <v>824</v>
      </c>
    </row>
    <row r="66" spans="1:8" ht="15" thickBot="1">
      <c r="A66" s="254" t="s">
        <v>767</v>
      </c>
      <c r="B66" s="261">
        <v>3085213656.3899999</v>
      </c>
      <c r="C66" s="261">
        <v>1704857486.9100001</v>
      </c>
    </row>
    <row r="67" spans="1:8" ht="15" thickBot="1">
      <c r="A67" s="254" t="s">
        <v>35</v>
      </c>
      <c r="B67" s="261">
        <v>6039009669.5500002</v>
      </c>
      <c r="C67" s="261">
        <v>3381866232.8600001</v>
      </c>
      <c r="D67" s="73">
        <f>SUM(B65:B66)</f>
        <v>6039009669.5499992</v>
      </c>
      <c r="E67" s="73">
        <f>SUM(C65:C66)</f>
        <v>3381866232.8600001</v>
      </c>
      <c r="F67" s="73">
        <f>+B67-D67</f>
        <v>0</v>
      </c>
      <c r="G67" s="73">
        <f>+C67-E67</f>
        <v>0</v>
      </c>
    </row>
    <row r="68" spans="1:8">
      <c r="A68" s="251" t="s">
        <v>768</v>
      </c>
      <c r="B68" s="257">
        <v>-2958623835.1999998</v>
      </c>
      <c r="C68" s="257">
        <v>-1630542037.3900001</v>
      </c>
    </row>
    <row r="69" spans="1:8">
      <c r="A69" s="251" t="s">
        <v>769</v>
      </c>
      <c r="B69" s="257">
        <v>5569551.7000000002</v>
      </c>
      <c r="C69" s="257">
        <v>-46122427.939999998</v>
      </c>
    </row>
    <row r="70" spans="1:8" ht="15" thickBot="1">
      <c r="A70" s="254" t="s">
        <v>770</v>
      </c>
      <c r="B70" s="261">
        <v>-42760.36</v>
      </c>
      <c r="C70" s="262">
        <v>0</v>
      </c>
    </row>
    <row r="71" spans="1:8" ht="27" thickBot="1">
      <c r="A71" s="263" t="s">
        <v>771</v>
      </c>
      <c r="B71" s="264">
        <v>3085912625.6900001</v>
      </c>
      <c r="C71" s="264">
        <v>1705201767.53</v>
      </c>
      <c r="D71" s="87">
        <f>+[3]NFS!C359</f>
        <v>3085912625.6900001</v>
      </c>
      <c r="E71" s="73">
        <f>+[3]NFS!C360</f>
        <v>1705201767.53</v>
      </c>
      <c r="F71" s="73">
        <f>+B71-D71</f>
        <v>0</v>
      </c>
      <c r="G71" s="73">
        <f>+C71-E71</f>
        <v>0</v>
      </c>
    </row>
    <row r="72" spans="1:8" ht="15" thickBot="1">
      <c r="A72" s="263" t="s">
        <v>772</v>
      </c>
      <c r="B72" s="265"/>
      <c r="C72" s="264">
        <v>4791114393.2200003</v>
      </c>
      <c r="D72" s="73">
        <f>SUM(B67:B70)</f>
        <v>3085912625.6900001</v>
      </c>
      <c r="E72" s="73">
        <f>SUM(C67:C70)</f>
        <v>1705201767.53</v>
      </c>
      <c r="F72" s="73">
        <f>+B71-D72</f>
        <v>0</v>
      </c>
      <c r="G72" s="73">
        <f>+C71-E72</f>
        <v>0</v>
      </c>
    </row>
    <row r="73" spans="1:8">
      <c r="C73" s="73">
        <f>+B71+C71</f>
        <v>4791114393.2200003</v>
      </c>
    </row>
    <row r="74" spans="1:8">
      <c r="C74" s="73">
        <f>+C72-C73</f>
        <v>0</v>
      </c>
    </row>
    <row r="76" spans="1:8" ht="15" thickBot="1"/>
    <row r="77" spans="1:8" ht="15" thickBot="1">
      <c r="A77" s="266" t="s">
        <v>744</v>
      </c>
      <c r="B77" s="267" t="s">
        <v>773</v>
      </c>
      <c r="C77" s="267" t="s">
        <v>774</v>
      </c>
      <c r="D77" s="267" t="s">
        <v>775</v>
      </c>
      <c r="E77" s="267" t="s">
        <v>35</v>
      </c>
    </row>
    <row r="78" spans="1:8">
      <c r="A78" s="268" t="s">
        <v>776</v>
      </c>
      <c r="B78" s="269">
        <v>297006037.37</v>
      </c>
      <c r="C78" s="269">
        <v>33723051.369999997</v>
      </c>
      <c r="D78" s="270" t="s">
        <v>165</v>
      </c>
      <c r="E78" s="269">
        <v>330729088.74000001</v>
      </c>
      <c r="F78" s="73">
        <f>SUM(B78:D78)</f>
        <v>330729088.74000001</v>
      </c>
      <c r="G78" s="87">
        <f>+E78-F78</f>
        <v>0</v>
      </c>
    </row>
    <row r="79" spans="1:8">
      <c r="A79" s="268" t="s">
        <v>777</v>
      </c>
      <c r="B79" s="269">
        <v>1903614484.47</v>
      </c>
      <c r="C79" s="269">
        <v>263338482.78</v>
      </c>
      <c r="D79" s="270" t="s">
        <v>165</v>
      </c>
      <c r="E79" s="269">
        <v>2166952967.25</v>
      </c>
      <c r="F79" s="73">
        <f t="shared" ref="F79:F87" si="3">SUM(B79:D79)</f>
        <v>2166952967.25</v>
      </c>
      <c r="G79" s="87">
        <f t="shared" ref="G79:G88" si="4">+E79-F79</f>
        <v>0</v>
      </c>
    </row>
    <row r="80" spans="1:8">
      <c r="A80" s="268" t="s">
        <v>778</v>
      </c>
      <c r="B80" s="269">
        <v>1665487856.21</v>
      </c>
      <c r="C80" s="269">
        <v>15392203.310000001</v>
      </c>
      <c r="D80" s="270" t="s">
        <v>165</v>
      </c>
      <c r="E80" s="269">
        <v>1680880059.52</v>
      </c>
      <c r="F80" s="73">
        <f t="shared" si="3"/>
        <v>1680880059.52</v>
      </c>
      <c r="G80" s="87">
        <f t="shared" si="4"/>
        <v>0</v>
      </c>
    </row>
    <row r="81" spans="1:7">
      <c r="A81" s="268" t="s">
        <v>779</v>
      </c>
      <c r="B81" s="269">
        <v>858863345.50999999</v>
      </c>
      <c r="C81" s="269">
        <v>8584900.7799999993</v>
      </c>
      <c r="D81" s="270" t="s">
        <v>165</v>
      </c>
      <c r="E81" s="269">
        <v>867448246.28999996</v>
      </c>
      <c r="F81" s="73">
        <f t="shared" si="3"/>
        <v>867448246.28999996</v>
      </c>
      <c r="G81" s="87">
        <f t="shared" si="4"/>
        <v>0</v>
      </c>
    </row>
    <row r="82" spans="1:7">
      <c r="A82" s="268" t="s">
        <v>780</v>
      </c>
      <c r="B82" s="270" t="s">
        <v>165</v>
      </c>
      <c r="C82" s="269">
        <v>224029.66</v>
      </c>
      <c r="D82" s="270" t="s">
        <v>165</v>
      </c>
      <c r="E82" s="269">
        <v>224029.66</v>
      </c>
      <c r="F82" s="73">
        <f t="shared" si="3"/>
        <v>224029.66</v>
      </c>
      <c r="G82" s="87">
        <f t="shared" si="4"/>
        <v>0</v>
      </c>
    </row>
    <row r="83" spans="1:7">
      <c r="A83" s="268" t="s">
        <v>781</v>
      </c>
      <c r="B83" s="270" t="s">
        <v>165</v>
      </c>
      <c r="C83" s="269">
        <v>3087677.58</v>
      </c>
      <c r="D83" s="271"/>
      <c r="E83" s="269">
        <v>3087677.58</v>
      </c>
      <c r="F83" s="73">
        <f t="shared" si="3"/>
        <v>3087677.58</v>
      </c>
      <c r="G83" s="87">
        <f t="shared" si="4"/>
        <v>0</v>
      </c>
    </row>
    <row r="84" spans="1:7">
      <c r="A84" s="268" t="s">
        <v>782</v>
      </c>
      <c r="B84" s="270" t="s">
        <v>165</v>
      </c>
      <c r="C84" s="270" t="s">
        <v>165</v>
      </c>
      <c r="D84" s="269">
        <v>250612.92</v>
      </c>
      <c r="E84" s="269">
        <v>250612.92</v>
      </c>
      <c r="F84" s="73">
        <f t="shared" si="3"/>
        <v>250612.92</v>
      </c>
      <c r="G84" s="87">
        <f t="shared" si="4"/>
        <v>0</v>
      </c>
    </row>
    <row r="85" spans="1:7">
      <c r="A85" s="268" t="s">
        <v>783</v>
      </c>
      <c r="B85" s="270" t="s">
        <v>165</v>
      </c>
      <c r="C85" s="270" t="s">
        <v>165</v>
      </c>
      <c r="D85" s="269">
        <v>11026548.310000001</v>
      </c>
      <c r="E85" s="269">
        <v>11026548.310000001</v>
      </c>
      <c r="F85" s="73">
        <f t="shared" si="3"/>
        <v>11026548.310000001</v>
      </c>
      <c r="G85" s="87">
        <f t="shared" si="4"/>
        <v>0</v>
      </c>
    </row>
    <row r="86" spans="1:7">
      <c r="A86" s="268" t="s">
        <v>784</v>
      </c>
      <c r="B86" s="270" t="s">
        <v>165</v>
      </c>
      <c r="C86" s="270" t="s">
        <v>165</v>
      </c>
      <c r="D86" s="269">
        <v>235746.56</v>
      </c>
      <c r="E86" s="269">
        <v>235746.56</v>
      </c>
      <c r="F86" s="73">
        <f t="shared" si="3"/>
        <v>235746.56</v>
      </c>
      <c r="G86" s="87">
        <f t="shared" si="4"/>
        <v>0</v>
      </c>
    </row>
    <row r="87" spans="1:7" ht="15" thickBot="1">
      <c r="A87" s="272" t="s">
        <v>785</v>
      </c>
      <c r="B87" s="273" t="s">
        <v>165</v>
      </c>
      <c r="C87" s="273" t="s">
        <v>165</v>
      </c>
      <c r="D87" s="274">
        <v>17579511.800000001</v>
      </c>
      <c r="E87" s="274">
        <v>17579511.800000001</v>
      </c>
      <c r="F87" s="73">
        <f t="shared" si="3"/>
        <v>17579511.800000001</v>
      </c>
      <c r="G87" s="87">
        <f t="shared" si="4"/>
        <v>0</v>
      </c>
    </row>
    <row r="88" spans="1:7" ht="15" thickBot="1">
      <c r="A88" s="275" t="s">
        <v>35</v>
      </c>
      <c r="B88" s="237">
        <v>4724971723.5600004</v>
      </c>
      <c r="C88" s="237">
        <v>324350345.48000002</v>
      </c>
      <c r="D88" s="237">
        <v>29092419.59</v>
      </c>
      <c r="E88" s="237">
        <v>5078414488.6300001</v>
      </c>
      <c r="F88" s="73">
        <f>SUM(F78:F87)</f>
        <v>5078414488.6300001</v>
      </c>
      <c r="G88" s="87">
        <f t="shared" si="4"/>
        <v>0</v>
      </c>
    </row>
    <row r="89" spans="1:7">
      <c r="B89" s="73">
        <f>SUM(B78:B87)</f>
        <v>4724971723.5600004</v>
      </c>
      <c r="C89" s="73">
        <f t="shared" ref="C89:E89" si="5">SUM(C78:C87)</f>
        <v>324350345.47999996</v>
      </c>
      <c r="D89" s="73">
        <f t="shared" si="5"/>
        <v>29092419.590000004</v>
      </c>
      <c r="E89" s="73">
        <f t="shared" si="5"/>
        <v>5078414488.6300001</v>
      </c>
      <c r="F89" s="73">
        <f>+[3]NFS!C267</f>
        <v>5078414488.6300001</v>
      </c>
      <c r="G89" s="238" t="s">
        <v>786</v>
      </c>
    </row>
    <row r="90" spans="1:7">
      <c r="B90" s="73">
        <f>+B88-B89</f>
        <v>0</v>
      </c>
      <c r="C90" s="73">
        <f t="shared" ref="C90:E90" si="6">+C88-C89</f>
        <v>0</v>
      </c>
      <c r="D90" s="73">
        <f t="shared" si="6"/>
        <v>0</v>
      </c>
      <c r="E90" s="73">
        <f t="shared" si="6"/>
        <v>0</v>
      </c>
      <c r="F90" s="73">
        <f>+F88-F89</f>
        <v>0</v>
      </c>
    </row>
    <row r="91" spans="1:7">
      <c r="F91" s="73">
        <f>+[3]NFS!D267</f>
        <v>7651696443.3400002</v>
      </c>
      <c r="G91" s="238">
        <v>2021</v>
      </c>
    </row>
    <row r="92" spans="1:7">
      <c r="B92" s="276">
        <v>4724971723.5600004</v>
      </c>
      <c r="C92" s="276">
        <v>324350345.48000002</v>
      </c>
      <c r="D92" s="276">
        <v>29092419.59</v>
      </c>
      <c r="E92" s="87">
        <f>SUM(B92:D92)</f>
        <v>5078414488.6300011</v>
      </c>
      <c r="F92" s="238" t="s">
        <v>787</v>
      </c>
    </row>
    <row r="93" spans="1:7">
      <c r="B93" s="87">
        <f t="shared" ref="B93:D93" si="7">+B88-B92</f>
        <v>0</v>
      </c>
      <c r="C93" s="87">
        <f t="shared" si="7"/>
        <v>0</v>
      </c>
      <c r="D93" s="87">
        <f t="shared" si="7"/>
        <v>0</v>
      </c>
      <c r="E93" s="87">
        <f>+E88-E92</f>
        <v>0</v>
      </c>
      <c r="F93">
        <v>2.0150000000000001</v>
      </c>
      <c r="G93" s="87">
        <v>5.0780000000000003</v>
      </c>
    </row>
    <row r="94" spans="1:7">
      <c r="F94" s="277">
        <f>+F93/G93</f>
        <v>0.39680976762504921</v>
      </c>
    </row>
    <row r="96" spans="1:7" ht="15" thickBot="1">
      <c r="A96" s="161" t="s">
        <v>788</v>
      </c>
    </row>
    <row r="97" spans="1:5" ht="15" thickBot="1">
      <c r="A97" s="278" t="s">
        <v>789</v>
      </c>
      <c r="B97" s="75" t="s">
        <v>174</v>
      </c>
    </row>
    <row r="98" spans="1:5">
      <c r="A98" s="110" t="s">
        <v>454</v>
      </c>
      <c r="B98" s="79">
        <v>38915282.270000003</v>
      </c>
    </row>
    <row r="99" spans="1:5">
      <c r="A99" s="110" t="s">
        <v>790</v>
      </c>
      <c r="B99" s="79">
        <v>76609830.959999993</v>
      </c>
    </row>
    <row r="100" spans="1:5">
      <c r="A100" s="110" t="s">
        <v>452</v>
      </c>
      <c r="B100" s="79">
        <v>50368347.109999999</v>
      </c>
    </row>
    <row r="101" spans="1:5">
      <c r="A101" s="110" t="s">
        <v>451</v>
      </c>
      <c r="B101" s="79">
        <v>108441064.04000001</v>
      </c>
    </row>
    <row r="102" spans="1:5">
      <c r="A102" s="110" t="s">
        <v>791</v>
      </c>
      <c r="B102" s="79">
        <v>77822077.099999994</v>
      </c>
    </row>
    <row r="103" spans="1:5" ht="15" thickBot="1">
      <c r="A103" s="111" t="s">
        <v>456</v>
      </c>
      <c r="B103" s="83">
        <v>96010192.390000001</v>
      </c>
    </row>
    <row r="104" spans="1:5">
      <c r="A104" s="110" t="s">
        <v>35</v>
      </c>
      <c r="B104" s="79">
        <v>448166793.87</v>
      </c>
      <c r="C104" s="73">
        <f>SUM(B98:B103)</f>
        <v>448166793.87</v>
      </c>
      <c r="D104" s="73">
        <f>+B104-C104</f>
        <v>0</v>
      </c>
    </row>
    <row r="105" spans="1:5" ht="15" thickBot="1">
      <c r="A105" s="111" t="s">
        <v>792</v>
      </c>
      <c r="B105" s="83">
        <v>290224449.75</v>
      </c>
      <c r="C105" s="73">
        <f>+B105</f>
        <v>290224449.75</v>
      </c>
    </row>
    <row r="106" spans="1:5">
      <c r="A106" s="110" t="s">
        <v>35</v>
      </c>
      <c r="B106" s="79">
        <v>738391243.62</v>
      </c>
      <c r="C106" s="73">
        <f>SUM(C104:C105)</f>
        <v>738391243.62</v>
      </c>
    </row>
    <row r="107" spans="1:5" ht="15" thickBot="1">
      <c r="A107" s="111" t="s">
        <v>793</v>
      </c>
      <c r="B107" s="83">
        <v>187897364.87</v>
      </c>
      <c r="C107" s="73">
        <f>B107</f>
        <v>187897364.87</v>
      </c>
    </row>
    <row r="108" spans="1:5" ht="15" thickBot="1">
      <c r="A108" s="279" t="s">
        <v>794</v>
      </c>
      <c r="B108" s="280">
        <v>550493878.75</v>
      </c>
      <c r="C108" s="73">
        <f>+C106-C107</f>
        <v>550493878.75</v>
      </c>
      <c r="D108" s="73">
        <f>+B108-C108</f>
        <v>0</v>
      </c>
      <c r="E108" s="281" t="s">
        <v>795</v>
      </c>
    </row>
    <row r="109" spans="1:5" ht="15" thickBot="1">
      <c r="A109" s="282" t="s">
        <v>796</v>
      </c>
      <c r="B109" s="283" t="s">
        <v>797</v>
      </c>
      <c r="C109" s="91">
        <f>+C107/C106</f>
        <v>0.25446857136174011</v>
      </c>
    </row>
    <row r="112" spans="1:5" ht="15" thickBot="1"/>
    <row r="113" spans="1:8" ht="15" thickBot="1">
      <c r="A113" s="267" t="s">
        <v>798</v>
      </c>
      <c r="B113" s="267" t="s">
        <v>799</v>
      </c>
      <c r="C113" s="266" t="s">
        <v>586</v>
      </c>
      <c r="D113" s="266" t="s">
        <v>800</v>
      </c>
      <c r="E113" s="266" t="s">
        <v>35</v>
      </c>
    </row>
    <row r="114" spans="1:8">
      <c r="A114" s="284" t="s">
        <v>801</v>
      </c>
      <c r="B114" s="269">
        <v>1028443</v>
      </c>
      <c r="C114" s="269">
        <v>891576939.77999997</v>
      </c>
      <c r="D114" s="269">
        <v>140000</v>
      </c>
      <c r="E114" s="269">
        <v>892745382.77999997</v>
      </c>
      <c r="F114" s="73">
        <f>SUM(B114:D114)</f>
        <v>892745382.77999997</v>
      </c>
      <c r="G114" s="87">
        <f>E114-F114</f>
        <v>0</v>
      </c>
    </row>
    <row r="115" spans="1:8" ht="15" thickBot="1">
      <c r="A115" s="285" t="s">
        <v>802</v>
      </c>
      <c r="B115" s="274">
        <v>1797000</v>
      </c>
      <c r="C115" s="274">
        <v>233599728.75999999</v>
      </c>
      <c r="D115" s="274">
        <v>2800000</v>
      </c>
      <c r="E115" s="274">
        <v>238196728.75999999</v>
      </c>
      <c r="F115" s="73">
        <f>SUM(B115:D115)</f>
        <v>238196728.75999999</v>
      </c>
      <c r="G115" s="87">
        <f>E115-F115</f>
        <v>0</v>
      </c>
    </row>
    <row r="116" spans="1:8" ht="15" thickBot="1">
      <c r="A116" s="235" t="s">
        <v>35</v>
      </c>
      <c r="B116" s="237">
        <v>2825443</v>
      </c>
      <c r="C116" s="237">
        <v>1125176668.54</v>
      </c>
      <c r="D116" s="237">
        <v>2940000</v>
      </c>
      <c r="E116" s="237">
        <v>1130942111.54</v>
      </c>
      <c r="F116" s="73">
        <f>SUM(F114:F115)</f>
        <v>1130942111.54</v>
      </c>
      <c r="G116" s="87">
        <f>E116-F116</f>
        <v>0</v>
      </c>
    </row>
    <row r="117" spans="1:8" ht="15" thickBot="1">
      <c r="A117" s="463" t="s">
        <v>803</v>
      </c>
      <c r="B117" s="463"/>
      <c r="C117" s="286"/>
      <c r="D117" s="286"/>
      <c r="E117" s="287">
        <v>22200000000</v>
      </c>
      <c r="F117" s="87">
        <f>+[3]SCBAA!H26</f>
        <v>27445928043</v>
      </c>
      <c r="G117" s="288">
        <f>E117-F117</f>
        <v>-5245928043</v>
      </c>
    </row>
    <row r="118" spans="1:8" ht="15" thickBot="1">
      <c r="A118" s="464" t="s">
        <v>804</v>
      </c>
      <c r="B118" s="464"/>
      <c r="C118" s="464"/>
      <c r="D118" s="464"/>
      <c r="E118" s="289">
        <v>5.09</v>
      </c>
      <c r="G118" s="238" t="s">
        <v>805</v>
      </c>
    </row>
    <row r="119" spans="1:8">
      <c r="B119" s="73">
        <f>SUM(B114:B115)</f>
        <v>2825443</v>
      </c>
      <c r="C119" s="73">
        <f t="shared" ref="C119:E119" si="8">SUM(C114:C115)</f>
        <v>1125176668.54</v>
      </c>
      <c r="D119" s="73">
        <f t="shared" si="8"/>
        <v>2940000</v>
      </c>
      <c r="E119" s="73">
        <f t="shared" si="8"/>
        <v>1130942111.54</v>
      </c>
    </row>
    <row r="120" spans="1:8">
      <c r="B120" s="73">
        <f>+B116-B119</f>
        <v>0</v>
      </c>
      <c r="C120" s="73">
        <f t="shared" ref="C120:E120" si="9">+C116-C119</f>
        <v>0</v>
      </c>
      <c r="D120" s="73">
        <f t="shared" si="9"/>
        <v>0</v>
      </c>
      <c r="E120" s="73">
        <f t="shared" si="9"/>
        <v>0</v>
      </c>
    </row>
    <row r="121" spans="1:8">
      <c r="B121" s="87">
        <v>143</v>
      </c>
      <c r="C121">
        <v>935.26300000000003</v>
      </c>
      <c r="D121" s="91">
        <f>+C121/$C$124</f>
        <v>0.82697698025186084</v>
      </c>
      <c r="E121" s="91">
        <f>+B121/$B$124</f>
        <v>0.76063829787234039</v>
      </c>
    </row>
    <row r="122" spans="1:8">
      <c r="B122" s="87">
        <v>43</v>
      </c>
      <c r="C122">
        <v>194.93299999999999</v>
      </c>
      <c r="D122" s="91">
        <f>+C122/$C$124</f>
        <v>0.17236339264082506</v>
      </c>
      <c r="E122" s="91">
        <f>+B122/$B$124</f>
        <v>0.22872340425531915</v>
      </c>
    </row>
    <row r="123" spans="1:8">
      <c r="B123">
        <v>2</v>
      </c>
      <c r="C123">
        <v>0.746</v>
      </c>
      <c r="D123" s="91">
        <f>+C123/$C$124</f>
        <v>6.596271073140798E-4</v>
      </c>
      <c r="E123" s="91">
        <f>+B123/$B$124</f>
        <v>1.0638297872340425E-2</v>
      </c>
    </row>
    <row r="124" spans="1:8">
      <c r="B124" s="73">
        <f>SUM(B120:B123)</f>
        <v>188</v>
      </c>
      <c r="C124">
        <f>SUM(C121:C123)</f>
        <v>1130.942</v>
      </c>
    </row>
    <row r="125" spans="1:8" ht="15" thickBot="1"/>
    <row r="126" spans="1:8">
      <c r="A126" s="450" t="s">
        <v>806</v>
      </c>
      <c r="B126" s="450" t="s">
        <v>807</v>
      </c>
      <c r="C126" s="450"/>
      <c r="D126" s="450"/>
      <c r="E126" s="450" t="s">
        <v>808</v>
      </c>
      <c r="F126" s="450"/>
      <c r="G126" s="450"/>
    </row>
    <row r="127" spans="1:8" ht="15" thickBot="1">
      <c r="A127" s="465"/>
      <c r="B127" s="290" t="s">
        <v>809</v>
      </c>
      <c r="C127" s="290" t="s">
        <v>810</v>
      </c>
      <c r="D127" s="290" t="s">
        <v>35</v>
      </c>
      <c r="E127" s="290" t="s">
        <v>809</v>
      </c>
      <c r="F127" s="290" t="s">
        <v>810</v>
      </c>
      <c r="G127" s="290" t="s">
        <v>35</v>
      </c>
    </row>
    <row r="128" spans="1:8">
      <c r="A128" s="291" t="s">
        <v>811</v>
      </c>
      <c r="B128" s="292">
        <v>67</v>
      </c>
      <c r="C128" s="292">
        <v>76</v>
      </c>
      <c r="D128" s="292">
        <v>143</v>
      </c>
      <c r="E128" s="226">
        <v>870413431.88999999</v>
      </c>
      <c r="F128" s="226">
        <v>64849238.759999998</v>
      </c>
      <c r="G128" s="226">
        <v>935262670.64999998</v>
      </c>
      <c r="H128" s="91">
        <f>+G128/$G$131</f>
        <v>0.82697660747326496</v>
      </c>
    </row>
    <row r="129" spans="1:8">
      <c r="A129" s="291" t="s">
        <v>812</v>
      </c>
      <c r="B129" s="292">
        <v>15</v>
      </c>
      <c r="C129" s="292">
        <v>28</v>
      </c>
      <c r="D129" s="292">
        <v>43</v>
      </c>
      <c r="E129" s="226">
        <v>22331950.890000001</v>
      </c>
      <c r="F129" s="226">
        <v>172601490</v>
      </c>
      <c r="G129" s="226">
        <v>194933440.88999999</v>
      </c>
      <c r="H129" s="91">
        <f t="shared" ref="H129:H130" si="10">+G129/$G$131</f>
        <v>0.17236376548447718</v>
      </c>
    </row>
    <row r="130" spans="1:8" ht="15" thickBot="1">
      <c r="A130" s="293" t="s">
        <v>813</v>
      </c>
      <c r="B130" s="294">
        <v>0</v>
      </c>
      <c r="C130" s="294">
        <v>2</v>
      </c>
      <c r="D130" s="294">
        <v>2</v>
      </c>
      <c r="E130" s="295" t="s">
        <v>165</v>
      </c>
      <c r="F130" s="232">
        <v>746000</v>
      </c>
      <c r="G130" s="232">
        <v>746000</v>
      </c>
      <c r="H130" s="91">
        <f t="shared" si="10"/>
        <v>6.5962704225786971E-4</v>
      </c>
    </row>
    <row r="131" spans="1:8" ht="15" thickBot="1">
      <c r="A131" s="296" t="s">
        <v>342</v>
      </c>
      <c r="B131" s="290">
        <v>82</v>
      </c>
      <c r="C131" s="290">
        <v>106</v>
      </c>
      <c r="D131" s="290">
        <v>188</v>
      </c>
      <c r="E131" s="234">
        <v>892745382.77999997</v>
      </c>
      <c r="F131" s="234">
        <v>238196728.75999999</v>
      </c>
      <c r="G131" s="234">
        <v>1130942111.54</v>
      </c>
    </row>
    <row r="132" spans="1:8">
      <c r="B132">
        <f>SUM(B128:B130)</f>
        <v>82</v>
      </c>
      <c r="C132">
        <f t="shared" ref="C132:D132" si="11">SUM(C128:C130)</f>
        <v>106</v>
      </c>
      <c r="D132">
        <f t="shared" si="11"/>
        <v>188</v>
      </c>
      <c r="E132" s="87">
        <f>SUM(E128:E130)</f>
        <v>892745382.77999997</v>
      </c>
      <c r="F132" s="87">
        <f t="shared" ref="F132:G132" si="12">SUM(F128:F130)</f>
        <v>238196728.75999999</v>
      </c>
      <c r="G132" s="87">
        <f t="shared" si="12"/>
        <v>1130942111.54</v>
      </c>
    </row>
    <row r="133" spans="1:8">
      <c r="B133">
        <f>SUM(B128:C128)</f>
        <v>143</v>
      </c>
      <c r="C133">
        <f>+D128-B133</f>
        <v>0</v>
      </c>
      <c r="E133" s="87">
        <f>+E131-E132</f>
        <v>0</v>
      </c>
      <c r="F133" s="87">
        <f t="shared" ref="F133:G133" si="13">+F131-F132</f>
        <v>0</v>
      </c>
      <c r="G133" s="87">
        <f t="shared" si="13"/>
        <v>0</v>
      </c>
    </row>
    <row r="134" spans="1:8">
      <c r="B134">
        <f>SUM(B129:C129)</f>
        <v>43</v>
      </c>
      <c r="C134">
        <f>+D129-B134</f>
        <v>0</v>
      </c>
    </row>
    <row r="135" spans="1:8">
      <c r="B135">
        <f>SUM(B130:C130)</f>
        <v>2</v>
      </c>
      <c r="C135">
        <f>+D130-B135</f>
        <v>0</v>
      </c>
    </row>
    <row r="136" spans="1:8" ht="15" thickBot="1"/>
    <row r="137" spans="1:8">
      <c r="A137" s="455"/>
      <c r="B137" s="455" t="s">
        <v>814</v>
      </c>
      <c r="C137" s="297" t="s">
        <v>815</v>
      </c>
      <c r="D137" s="455" t="s">
        <v>816</v>
      </c>
    </row>
    <row r="138" spans="1:8" ht="15" thickBot="1">
      <c r="A138" s="456"/>
      <c r="B138" s="456"/>
      <c r="C138" s="177" t="s">
        <v>817</v>
      </c>
      <c r="D138" s="456"/>
    </row>
    <row r="139" spans="1:8">
      <c r="A139" s="298" t="s">
        <v>801</v>
      </c>
      <c r="B139" s="299">
        <v>892745382.77999997</v>
      </c>
      <c r="C139" s="299">
        <v>743900047.23000002</v>
      </c>
      <c r="D139" s="299">
        <v>148845335.55000001</v>
      </c>
    </row>
    <row r="140" spans="1:8" ht="15" thickBot="1">
      <c r="A140" s="300" t="s">
        <v>818</v>
      </c>
      <c r="B140" s="301">
        <v>238196728.75999999</v>
      </c>
      <c r="C140" s="301">
        <v>30553480.780000001</v>
      </c>
      <c r="D140" s="301">
        <v>207643247.97999999</v>
      </c>
    </row>
    <row r="141" spans="1:8" ht="15" thickBot="1">
      <c r="A141" s="302" t="s">
        <v>35</v>
      </c>
      <c r="B141" s="303">
        <v>1130942111.54</v>
      </c>
      <c r="C141" s="303">
        <v>774453528.00999999</v>
      </c>
      <c r="D141" s="303">
        <v>356488583.52999997</v>
      </c>
    </row>
    <row r="142" spans="1:8">
      <c r="B142" s="73">
        <f>SUM(B139:B140)</f>
        <v>1130942111.54</v>
      </c>
      <c r="C142" s="73">
        <f t="shared" ref="C142:D142" si="14">SUM(C139:C140)</f>
        <v>774453528.00999999</v>
      </c>
      <c r="D142" s="73">
        <f t="shared" si="14"/>
        <v>356488583.52999997</v>
      </c>
    </row>
    <row r="143" spans="1:8">
      <c r="B143" s="73">
        <f>+B141-B142</f>
        <v>0</v>
      </c>
      <c r="C143" s="73">
        <f t="shared" ref="C143:D143" si="15">+C141-C142</f>
        <v>0</v>
      </c>
      <c r="D143" s="73">
        <f t="shared" si="15"/>
        <v>0</v>
      </c>
    </row>
    <row r="144" spans="1:8">
      <c r="C144" s="277">
        <f>+C141/$B$141</f>
        <v>0.6847861796882152</v>
      </c>
      <c r="D144" s="277">
        <f>+D141/$B$141</f>
        <v>0.31521382031178474</v>
      </c>
    </row>
    <row r="147" spans="1:8" ht="15" thickBot="1"/>
    <row r="148" spans="1:8" ht="15" thickBot="1">
      <c r="A148" s="304" t="s">
        <v>64</v>
      </c>
      <c r="B148" s="304" t="s">
        <v>819</v>
      </c>
      <c r="C148" s="304" t="s">
        <v>820</v>
      </c>
      <c r="D148" s="304" t="s">
        <v>821</v>
      </c>
      <c r="E148" s="304" t="s">
        <v>822</v>
      </c>
    </row>
    <row r="149" spans="1:8">
      <c r="A149" s="230" t="s">
        <v>823</v>
      </c>
      <c r="B149" s="305">
        <v>566598151.98000002</v>
      </c>
      <c r="C149" s="305">
        <v>107681185.29000001</v>
      </c>
      <c r="D149" s="226">
        <v>25417463.84</v>
      </c>
      <c r="E149" s="226">
        <v>31706334.690000001</v>
      </c>
      <c r="F149" s="306" t="s">
        <v>824</v>
      </c>
    </row>
    <row r="150" spans="1:8" ht="15" thickBot="1">
      <c r="A150" s="307" t="s">
        <v>825</v>
      </c>
      <c r="B150" s="232">
        <v>2835262022.6800117</v>
      </c>
      <c r="C150" s="232">
        <v>1221539251.9099972</v>
      </c>
      <c r="D150" s="232">
        <v>49989243.32</v>
      </c>
      <c r="E150" s="232">
        <v>123530053.90000001</v>
      </c>
    </row>
    <row r="151" spans="1:8">
      <c r="A151" s="230" t="s">
        <v>35</v>
      </c>
      <c r="B151" s="305">
        <v>3401860174.6599998</v>
      </c>
      <c r="C151" s="305">
        <v>1329220437.1999972</v>
      </c>
      <c r="D151" s="226">
        <v>75406707.159999996</v>
      </c>
      <c r="E151" s="226">
        <v>155236388.59</v>
      </c>
    </row>
    <row r="152" spans="1:8" ht="15" thickBot="1">
      <c r="A152" s="307" t="s">
        <v>826</v>
      </c>
      <c r="B152" s="308">
        <f>2959508880.94+15157466.55</f>
        <v>2974666347.4900002</v>
      </c>
      <c r="C152" s="308">
        <f>1215636887.02+45661771.51</f>
        <v>1261298658.53</v>
      </c>
      <c r="D152" s="232">
        <v>58351972.409999996</v>
      </c>
      <c r="E152" s="232">
        <v>118313890.08</v>
      </c>
    </row>
    <row r="153" spans="1:8">
      <c r="A153" s="230" t="s">
        <v>827</v>
      </c>
      <c r="B153" s="226">
        <v>427193827.17000002</v>
      </c>
      <c r="C153" s="226">
        <v>67921778.670000002</v>
      </c>
      <c r="D153" s="226">
        <v>17054734.75</v>
      </c>
      <c r="E153" s="226">
        <v>36922498.509999998</v>
      </c>
    </row>
    <row r="154" spans="1:8" ht="15" thickBot="1">
      <c r="A154" s="307" t="s">
        <v>828</v>
      </c>
      <c r="B154" s="232">
        <v>26963520.670000002</v>
      </c>
      <c r="C154" s="232">
        <v>55292579.079999998</v>
      </c>
      <c r="D154" s="232">
        <v>91639.22</v>
      </c>
      <c r="E154" s="232">
        <v>16753040.539999999</v>
      </c>
    </row>
    <row r="155" spans="1:8" ht="15" thickBot="1">
      <c r="A155" s="296" t="s">
        <v>829</v>
      </c>
      <c r="B155" s="234">
        <v>400230306.5</v>
      </c>
      <c r="C155" s="234">
        <v>12629199.59</v>
      </c>
      <c r="D155" s="234">
        <v>16963095.530000001</v>
      </c>
      <c r="E155" s="234">
        <v>20169457.969999999</v>
      </c>
    </row>
    <row r="156" spans="1:8" ht="15" thickBot="1">
      <c r="A156" s="451" t="s">
        <v>830</v>
      </c>
      <c r="B156" s="451"/>
      <c r="C156" s="451"/>
      <c r="D156" s="451"/>
      <c r="E156" s="234">
        <v>449992059.58999997</v>
      </c>
    </row>
    <row r="157" spans="1:8" ht="15" thickBot="1">
      <c r="A157" s="451" t="s">
        <v>831</v>
      </c>
      <c r="B157" s="451"/>
      <c r="C157" s="451"/>
      <c r="D157" s="451"/>
      <c r="E157" s="234">
        <v>56428501.159999996</v>
      </c>
    </row>
    <row r="158" spans="1:8" ht="15" thickBot="1">
      <c r="A158" s="451" t="s">
        <v>832</v>
      </c>
      <c r="B158" s="451"/>
      <c r="C158" s="451"/>
      <c r="D158" s="451"/>
      <c r="E158" s="234">
        <v>393563558.43000001</v>
      </c>
    </row>
    <row r="159" spans="1:8">
      <c r="B159" s="73">
        <f>+[3]NFS!D314</f>
        <v>566598151.98000002</v>
      </c>
      <c r="C159" s="73">
        <f>+[3]NFS!D315</f>
        <v>107681185.29000001</v>
      </c>
      <c r="D159" s="73">
        <f>+[3]NFS!D316</f>
        <v>25417463.84</v>
      </c>
      <c r="E159" s="87">
        <f>+[3]NFS!D317</f>
        <v>31706334.690000001</v>
      </c>
      <c r="F159" s="250" t="s">
        <v>756</v>
      </c>
      <c r="H159">
        <v>2021</v>
      </c>
    </row>
    <row r="160" spans="1:8">
      <c r="B160" s="253">
        <f>+B149-B159</f>
        <v>0</v>
      </c>
      <c r="C160" s="253">
        <f t="shared" ref="C160:E160" si="16">+C149-C159</f>
        <v>0</v>
      </c>
      <c r="D160" s="117">
        <f t="shared" si="16"/>
        <v>0</v>
      </c>
      <c r="E160" s="117">
        <f t="shared" si="16"/>
        <v>0</v>
      </c>
    </row>
    <row r="161" spans="1:8">
      <c r="B161" s="73">
        <f>+[3]NFS!C314</f>
        <v>427193827.17000002</v>
      </c>
      <c r="C161" s="73">
        <f>+[3]NFS!C315</f>
        <v>67921778.670000002</v>
      </c>
      <c r="D161" s="73">
        <f>+[3]NFS!C316</f>
        <v>17054734.75</v>
      </c>
      <c r="E161" s="87">
        <f>+[3]NFS!C317</f>
        <v>36922498.509999998</v>
      </c>
      <c r="H161">
        <v>2022</v>
      </c>
    </row>
    <row r="162" spans="1:8">
      <c r="B162" s="117">
        <f>B153-B161</f>
        <v>0</v>
      </c>
      <c r="C162" s="117">
        <f t="shared" ref="C162:E162" si="17">C153-C161</f>
        <v>0</v>
      </c>
      <c r="D162" s="117">
        <f t="shared" si="17"/>
        <v>0</v>
      </c>
      <c r="E162" s="117">
        <f t="shared" si="17"/>
        <v>0</v>
      </c>
      <c r="F162" s="73">
        <f>SUM(B162:E162)</f>
        <v>0</v>
      </c>
    </row>
    <row r="163" spans="1:8">
      <c r="B163" s="73"/>
      <c r="C163" s="73"/>
    </row>
    <row r="165" spans="1:8">
      <c r="B165" s="73">
        <f>SUM(B149:B150)</f>
        <v>3401860174.6600118</v>
      </c>
      <c r="C165" s="73">
        <f t="shared" ref="C165:E165" si="18">SUM(C149:C150)</f>
        <v>1329220437.1999972</v>
      </c>
      <c r="D165" s="73">
        <f t="shared" si="18"/>
        <v>75406707.159999996</v>
      </c>
      <c r="E165" s="73">
        <f t="shared" si="18"/>
        <v>155236388.59</v>
      </c>
    </row>
    <row r="166" spans="1:8">
      <c r="B166" s="73">
        <f>+B151-B165</f>
        <v>-1.1920928955078125E-5</v>
      </c>
      <c r="C166" s="73">
        <f t="shared" ref="C166:E166" si="19">+C151-C165</f>
        <v>0</v>
      </c>
      <c r="D166" s="73">
        <f t="shared" si="19"/>
        <v>0</v>
      </c>
      <c r="E166" s="73">
        <f t="shared" si="19"/>
        <v>0</v>
      </c>
    </row>
    <row r="167" spans="1:8">
      <c r="B167" s="73">
        <f>+B151-B152</f>
        <v>427193827.1699996</v>
      </c>
      <c r="C167" s="73">
        <f t="shared" ref="C167:E167" si="20">+C151-C152</f>
        <v>67921778.669997215</v>
      </c>
      <c r="D167" s="73">
        <f t="shared" si="20"/>
        <v>17054734.75</v>
      </c>
      <c r="E167" s="73">
        <f t="shared" si="20"/>
        <v>36922498.510000005</v>
      </c>
    </row>
    <row r="168" spans="1:8">
      <c r="B168" s="73">
        <f>+B153-B167</f>
        <v>0</v>
      </c>
      <c r="C168" s="73">
        <f t="shared" ref="C168:E168" si="21">+C153-C167</f>
        <v>2.7865171432495117E-6</v>
      </c>
      <c r="D168" s="73">
        <f t="shared" si="21"/>
        <v>0</v>
      </c>
      <c r="E168" s="73">
        <f t="shared" si="21"/>
        <v>0</v>
      </c>
    </row>
    <row r="169" spans="1:8">
      <c r="B169" s="73">
        <f>SUM(B153-B154)</f>
        <v>400230306.5</v>
      </c>
      <c r="C169" s="73">
        <f t="shared" ref="C169:E169" si="22">SUM(C153-C154)</f>
        <v>12629199.590000004</v>
      </c>
      <c r="D169" s="73">
        <f t="shared" si="22"/>
        <v>16963095.530000001</v>
      </c>
      <c r="E169" s="73">
        <f t="shared" si="22"/>
        <v>20169457.969999999</v>
      </c>
      <c r="F169" s="73">
        <f>SUM(B169:E169)</f>
        <v>449992059.59000003</v>
      </c>
    </row>
    <row r="170" spans="1:8">
      <c r="B170" s="73">
        <f>+B155-B169</f>
        <v>0</v>
      </c>
      <c r="C170" s="73">
        <f t="shared" ref="C170:E170" si="23">+C155-C169</f>
        <v>0</v>
      </c>
      <c r="D170" s="73">
        <f t="shared" si="23"/>
        <v>0</v>
      </c>
      <c r="E170" s="73">
        <f t="shared" si="23"/>
        <v>0</v>
      </c>
      <c r="F170" s="73">
        <f>+E157</f>
        <v>56428501.159999996</v>
      </c>
    </row>
    <row r="171" spans="1:8">
      <c r="F171" s="73">
        <f>+F169-F170</f>
        <v>393563558.43000007</v>
      </c>
    </row>
    <row r="173" spans="1:8" ht="15" thickBot="1"/>
    <row r="174" spans="1:8">
      <c r="A174" s="452" t="s">
        <v>64</v>
      </c>
      <c r="B174" s="309" t="s">
        <v>833</v>
      </c>
      <c r="C174" s="452" t="s">
        <v>834</v>
      </c>
      <c r="D174" s="452"/>
      <c r="E174" s="452"/>
      <c r="F174" s="309" t="s">
        <v>835</v>
      </c>
    </row>
    <row r="175" spans="1:8">
      <c r="A175" s="453"/>
      <c r="B175" s="310" t="s">
        <v>385</v>
      </c>
      <c r="C175" s="453" t="s">
        <v>836</v>
      </c>
      <c r="D175" s="453"/>
      <c r="E175" s="453"/>
      <c r="F175" s="310" t="s">
        <v>385</v>
      </c>
    </row>
    <row r="176" spans="1:8">
      <c r="A176" s="453"/>
      <c r="B176" s="310" t="s">
        <v>837</v>
      </c>
      <c r="C176" s="310" t="s">
        <v>838</v>
      </c>
      <c r="D176" s="453" t="s">
        <v>839</v>
      </c>
      <c r="E176" s="453" t="s">
        <v>840</v>
      </c>
      <c r="F176" s="310" t="s">
        <v>841</v>
      </c>
    </row>
    <row r="177" spans="1:7" ht="15" thickBot="1">
      <c r="A177" s="454"/>
      <c r="B177" s="312"/>
      <c r="C177" s="311" t="s">
        <v>842</v>
      </c>
      <c r="D177" s="454"/>
      <c r="E177" s="454"/>
      <c r="F177" s="312"/>
    </row>
    <row r="178" spans="1:7">
      <c r="A178" s="313" t="s">
        <v>843</v>
      </c>
      <c r="B178" s="314">
        <v>42538364.469999999</v>
      </c>
      <c r="C178" s="315" t="s">
        <v>165</v>
      </c>
      <c r="D178" s="315" t="s">
        <v>165</v>
      </c>
      <c r="E178" s="315" t="s">
        <v>165</v>
      </c>
      <c r="F178" s="314">
        <v>42538364.469999999</v>
      </c>
      <c r="G178" s="87">
        <f>+B178-F178</f>
        <v>0</v>
      </c>
    </row>
    <row r="179" spans="1:7">
      <c r="A179" s="313" t="s">
        <v>844</v>
      </c>
      <c r="B179" s="314">
        <v>67199797.900000006</v>
      </c>
      <c r="C179" s="315" t="s">
        <v>165</v>
      </c>
      <c r="D179" s="315" t="s">
        <v>165</v>
      </c>
      <c r="E179" s="315" t="s">
        <v>165</v>
      </c>
      <c r="F179" s="314">
        <v>67199797.900000006</v>
      </c>
      <c r="G179" s="87">
        <f>+B179-F179</f>
        <v>0</v>
      </c>
    </row>
    <row r="180" spans="1:7" ht="15" thickBot="1">
      <c r="A180" s="316" t="s">
        <v>845</v>
      </c>
      <c r="B180" s="317">
        <v>33046763.649999999</v>
      </c>
      <c r="C180" s="318" t="s">
        <v>165</v>
      </c>
      <c r="D180" s="318" t="s">
        <v>165</v>
      </c>
      <c r="E180" s="318" t="s">
        <v>165</v>
      </c>
      <c r="F180" s="317">
        <v>33046763.649999999</v>
      </c>
      <c r="G180" s="87">
        <f>+B180-F180</f>
        <v>0</v>
      </c>
    </row>
    <row r="181" spans="1:7" ht="15" thickBot="1">
      <c r="A181" s="319" t="s">
        <v>35</v>
      </c>
      <c r="B181" s="320">
        <v>142784926.02000001</v>
      </c>
      <c r="C181" s="321" t="s">
        <v>165</v>
      </c>
      <c r="D181" s="321" t="s">
        <v>165</v>
      </c>
      <c r="E181" s="321" t="s">
        <v>165</v>
      </c>
      <c r="F181" s="320">
        <v>142784926.02000001</v>
      </c>
      <c r="G181" s="87">
        <f>+B181-F181</f>
        <v>0</v>
      </c>
    </row>
    <row r="182" spans="1:7">
      <c r="B182" s="73">
        <f>SUM(B178:B180)</f>
        <v>142784926.02000001</v>
      </c>
      <c r="C182" s="73">
        <f t="shared" ref="C182:F182" si="24">SUM(C178:C180)</f>
        <v>0</v>
      </c>
      <c r="D182" s="73">
        <f t="shared" si="24"/>
        <v>0</v>
      </c>
      <c r="E182" s="73">
        <f t="shared" si="24"/>
        <v>0</v>
      </c>
      <c r="F182" s="73">
        <f t="shared" si="24"/>
        <v>142784926.02000001</v>
      </c>
    </row>
    <row r="186" spans="1:7">
      <c r="B186">
        <v>8</v>
      </c>
      <c r="C186" s="277">
        <f>+B186/$B$189</f>
        <v>0.15686274509803921</v>
      </c>
    </row>
    <row r="187" spans="1:7">
      <c r="B187">
        <v>26</v>
      </c>
      <c r="C187" s="277">
        <f t="shared" ref="C187:C188" si="25">+B187/$B$189</f>
        <v>0.50980392156862742</v>
      </c>
    </row>
    <row r="188" spans="1:7">
      <c r="B188">
        <v>17</v>
      </c>
      <c r="C188" s="277">
        <f t="shared" si="25"/>
        <v>0.33333333333333331</v>
      </c>
    </row>
    <row r="189" spans="1:7">
      <c r="B189">
        <f>SUM(B186:B188)</f>
        <v>51</v>
      </c>
    </row>
  </sheetData>
  <mergeCells count="23">
    <mergeCell ref="B63:B64"/>
    <mergeCell ref="C63:C64"/>
    <mergeCell ref="A117:B117"/>
    <mergeCell ref="A118:D118"/>
    <mergeCell ref="A126:A127"/>
    <mergeCell ref="B126:D126"/>
    <mergeCell ref="A2:A3"/>
    <mergeCell ref="B2:C2"/>
    <mergeCell ref="D2:D3"/>
    <mergeCell ref="A22:B22"/>
    <mergeCell ref="A23:B23"/>
    <mergeCell ref="E126:G126"/>
    <mergeCell ref="A156:D156"/>
    <mergeCell ref="A157:D157"/>
    <mergeCell ref="A158:D158"/>
    <mergeCell ref="A174:A177"/>
    <mergeCell ref="C174:E174"/>
    <mergeCell ref="C175:E175"/>
    <mergeCell ref="D176:D177"/>
    <mergeCell ref="E176:E177"/>
    <mergeCell ref="A137:A138"/>
    <mergeCell ref="B137:B138"/>
    <mergeCell ref="D137:D1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A75F-16A2-4D50-9279-13D289E3F889}">
  <dimension ref="A1:H179"/>
  <sheetViews>
    <sheetView topLeftCell="A152" workbookViewId="0">
      <selection activeCell="C656" sqref="C656"/>
    </sheetView>
  </sheetViews>
  <sheetFormatPr defaultRowHeight="14.4"/>
  <cols>
    <col min="2" max="2" width="42.44140625" customWidth="1"/>
    <col min="3" max="3" width="24.6640625" bestFit="1" customWidth="1"/>
    <col min="4" max="7" width="19" customWidth="1"/>
    <col min="8" max="8" width="16" bestFit="1" customWidth="1"/>
  </cols>
  <sheetData>
    <row r="1" spans="2:6" ht="15" thickBot="1"/>
    <row r="2" spans="2:6" ht="15" thickBot="1">
      <c r="B2" s="336" t="s">
        <v>276</v>
      </c>
      <c r="C2" s="336" t="s">
        <v>872</v>
      </c>
      <c r="D2" s="336" t="s">
        <v>873</v>
      </c>
      <c r="E2" s="336" t="s">
        <v>35</v>
      </c>
    </row>
    <row r="3" spans="2:6">
      <c r="B3" s="100" t="s">
        <v>194</v>
      </c>
      <c r="C3" s="79">
        <v>15338432.890000001</v>
      </c>
      <c r="D3" s="79">
        <v>323168650.18000001</v>
      </c>
      <c r="E3" s="113">
        <v>338507083.06999999</v>
      </c>
      <c r="F3" s="73">
        <f>SUM(C3:D3)</f>
        <v>338507083.06999999</v>
      </c>
    </row>
    <row r="4" spans="2:6" ht="27.6">
      <c r="B4" s="100" t="s">
        <v>195</v>
      </c>
      <c r="C4" s="79">
        <v>26661434.690000001</v>
      </c>
      <c r="D4" s="79">
        <v>25583086.579999998</v>
      </c>
      <c r="E4" s="113">
        <v>52244521.270000003</v>
      </c>
      <c r="F4" s="73">
        <f t="shared" ref="F4:F6" si="0">SUM(C4:D4)</f>
        <v>52244521.269999996</v>
      </c>
    </row>
    <row r="5" spans="2:6">
      <c r="B5" s="100" t="s">
        <v>196</v>
      </c>
      <c r="C5" s="79">
        <v>77717364.939999998</v>
      </c>
      <c r="D5" s="77" t="s">
        <v>165</v>
      </c>
      <c r="E5" s="113">
        <v>77717364.939999998</v>
      </c>
      <c r="F5" s="73">
        <f t="shared" si="0"/>
        <v>77717364.939999998</v>
      </c>
    </row>
    <row r="6" spans="2:6">
      <c r="B6" s="100" t="s">
        <v>197</v>
      </c>
      <c r="C6" s="79">
        <v>60484568.700000003</v>
      </c>
      <c r="D6" s="77" t="s">
        <v>874</v>
      </c>
      <c r="E6" s="113">
        <v>60484568.700000003</v>
      </c>
      <c r="F6" s="73">
        <f t="shared" si="0"/>
        <v>60484568.700000003</v>
      </c>
    </row>
    <row r="7" spans="2:6" ht="15" thickBot="1"/>
    <row r="8" spans="2:6" ht="15" thickBot="1">
      <c r="B8" s="336" t="s">
        <v>276</v>
      </c>
      <c r="C8" s="336" t="s">
        <v>872</v>
      </c>
      <c r="D8" s="336" t="s">
        <v>873</v>
      </c>
      <c r="E8" s="336" t="s">
        <v>35</v>
      </c>
    </row>
    <row r="9" spans="2:6">
      <c r="B9" s="100" t="s">
        <v>199</v>
      </c>
      <c r="C9" s="79">
        <v>8043746.6299999999</v>
      </c>
      <c r="D9" s="77" t="s">
        <v>165</v>
      </c>
      <c r="E9" s="113">
        <v>8043746.6299999999</v>
      </c>
      <c r="F9" s="73">
        <f t="shared" ref="F9:F11" si="1">SUM(C9:D9)</f>
        <v>8043746.6299999999</v>
      </c>
    </row>
    <row r="10" spans="2:6">
      <c r="B10" s="100" t="s">
        <v>875</v>
      </c>
      <c r="C10" s="79">
        <v>26359730.43</v>
      </c>
      <c r="D10" s="79">
        <v>68481235.079999998</v>
      </c>
      <c r="E10" s="113">
        <v>94840965.510000005</v>
      </c>
      <c r="F10" s="73">
        <f t="shared" si="1"/>
        <v>94840965.50999999</v>
      </c>
    </row>
    <row r="11" spans="2:6">
      <c r="B11" s="100" t="s">
        <v>201</v>
      </c>
      <c r="C11" s="79">
        <v>601840</v>
      </c>
      <c r="D11" s="79">
        <v>2603152.92</v>
      </c>
      <c r="E11" s="113">
        <v>3204992.92</v>
      </c>
      <c r="F11" s="73">
        <f t="shared" si="1"/>
        <v>3204992.92</v>
      </c>
    </row>
    <row r="12" spans="2:6" ht="15" thickBot="1"/>
    <row r="13" spans="2:6" ht="15" thickBot="1">
      <c r="B13" s="336" t="s">
        <v>276</v>
      </c>
      <c r="C13" s="336" t="s">
        <v>872</v>
      </c>
      <c r="D13" s="336" t="s">
        <v>873</v>
      </c>
      <c r="E13" s="336" t="s">
        <v>35</v>
      </c>
    </row>
    <row r="14" spans="2:6">
      <c r="B14" s="100" t="s">
        <v>876</v>
      </c>
      <c r="C14" s="77" t="s">
        <v>877</v>
      </c>
      <c r="D14" s="79">
        <v>1972954.21</v>
      </c>
      <c r="E14" s="113">
        <v>1972954.21</v>
      </c>
      <c r="F14" s="73">
        <f t="shared" ref="F14:F16" si="2">SUM(C14:D14)</f>
        <v>1972954.21</v>
      </c>
    </row>
    <row r="15" spans="2:6">
      <c r="B15" s="100" t="s">
        <v>204</v>
      </c>
      <c r="C15" s="77" t="s">
        <v>165</v>
      </c>
      <c r="D15" s="79">
        <v>17743.560000000001</v>
      </c>
      <c r="E15" s="113">
        <v>17743.560000000001</v>
      </c>
      <c r="F15" s="73">
        <f t="shared" si="2"/>
        <v>17743.560000000001</v>
      </c>
    </row>
    <row r="16" spans="2:6">
      <c r="B16" s="100" t="s">
        <v>202</v>
      </c>
      <c r="C16" s="79">
        <v>13235183.83</v>
      </c>
      <c r="D16" s="79">
        <v>1299448726.6300001</v>
      </c>
      <c r="E16" s="113">
        <v>1312683910.46</v>
      </c>
      <c r="F16" s="73">
        <f t="shared" si="2"/>
        <v>1312683910.46</v>
      </c>
    </row>
    <row r="19" spans="1:3">
      <c r="B19" s="100" t="s">
        <v>356</v>
      </c>
      <c r="C19" s="150">
        <v>1311715271.23</v>
      </c>
    </row>
    <row r="20" spans="1:3">
      <c r="B20" s="100" t="s">
        <v>357</v>
      </c>
      <c r="C20" s="151">
        <v>400606687.47000003</v>
      </c>
    </row>
    <row r="21" spans="1:3">
      <c r="B21" s="100" t="s">
        <v>358</v>
      </c>
      <c r="C21" s="151">
        <v>498367495.93000001</v>
      </c>
    </row>
    <row r="22" spans="1:3">
      <c r="B22" s="100" t="s">
        <v>359</v>
      </c>
      <c r="C22" s="151">
        <v>498348932.55000001</v>
      </c>
    </row>
    <row r="23" spans="1:3">
      <c r="B23" s="100" t="s">
        <v>360</v>
      </c>
      <c r="C23" s="150">
        <v>2290961612.8200002</v>
      </c>
    </row>
    <row r="24" spans="1:3">
      <c r="C24" s="136">
        <f>SUM(C19:C23)</f>
        <v>5000000000</v>
      </c>
    </row>
    <row r="26" spans="1:3">
      <c r="A26" s="100">
        <v>1</v>
      </c>
      <c r="B26" s="100" t="s">
        <v>361</v>
      </c>
      <c r="C26" s="337">
        <v>2000000000</v>
      </c>
    </row>
    <row r="27" spans="1:3">
      <c r="A27" s="100">
        <v>2</v>
      </c>
      <c r="B27" s="100" t="s">
        <v>362</v>
      </c>
      <c r="C27" s="79">
        <v>1900000000</v>
      </c>
    </row>
    <row r="28" spans="1:3">
      <c r="A28" s="100">
        <v>3</v>
      </c>
      <c r="B28" s="100" t="s">
        <v>363</v>
      </c>
      <c r="C28" s="79">
        <v>1300000000</v>
      </c>
    </row>
    <row r="29" spans="1:3">
      <c r="A29" s="100">
        <v>4</v>
      </c>
      <c r="B29" s="100" t="s">
        <v>364</v>
      </c>
      <c r="C29" s="79">
        <v>1585000000</v>
      </c>
    </row>
    <row r="30" spans="1:3">
      <c r="A30" s="100">
        <v>5</v>
      </c>
      <c r="B30" s="100" t="s">
        <v>365</v>
      </c>
      <c r="C30" s="337">
        <v>2015000000</v>
      </c>
    </row>
    <row r="31" spans="1:3">
      <c r="A31" s="100">
        <v>6</v>
      </c>
      <c r="B31" s="100" t="s">
        <v>366</v>
      </c>
      <c r="C31" s="337">
        <v>1200000000</v>
      </c>
    </row>
    <row r="32" spans="1:3">
      <c r="C32" s="73">
        <f>SUM(C26:C31)</f>
        <v>10000000000</v>
      </c>
    </row>
    <row r="33" spans="2:8" ht="15" thickBot="1"/>
    <row r="34" spans="2:8" ht="28.2" thickBot="1">
      <c r="B34" s="336" t="s">
        <v>276</v>
      </c>
      <c r="C34" s="336" t="s">
        <v>878</v>
      </c>
      <c r="D34" s="336" t="s">
        <v>879</v>
      </c>
      <c r="E34" s="336" t="s">
        <v>35</v>
      </c>
    </row>
    <row r="35" spans="2:8">
      <c r="B35" s="100" t="s">
        <v>370</v>
      </c>
      <c r="C35" s="79">
        <v>284469553.31</v>
      </c>
      <c r="D35" s="79">
        <v>142724273.86000001</v>
      </c>
      <c r="E35" s="134" t="s">
        <v>880</v>
      </c>
      <c r="F35" s="73">
        <f>SUM(C35:D35)</f>
        <v>427193827.17000002</v>
      </c>
    </row>
    <row r="36" spans="2:8">
      <c r="B36" s="100" t="s">
        <v>371</v>
      </c>
      <c r="C36" s="79">
        <v>30454471.66</v>
      </c>
      <c r="D36" s="79">
        <v>37467307.009999998</v>
      </c>
      <c r="E36" s="113">
        <v>67921778.670000002</v>
      </c>
      <c r="F36" s="73">
        <f t="shared" ref="F36:F41" si="3">SUM(C36:D36)</f>
        <v>67921778.670000002</v>
      </c>
    </row>
    <row r="37" spans="2:8">
      <c r="B37" s="100" t="s">
        <v>372</v>
      </c>
      <c r="C37" s="79">
        <v>14298384.890000001</v>
      </c>
      <c r="D37" s="79">
        <v>2756349.86</v>
      </c>
      <c r="E37" s="113">
        <v>17054734.75</v>
      </c>
      <c r="F37" s="73">
        <f t="shared" si="3"/>
        <v>17054734.75</v>
      </c>
    </row>
    <row r="38" spans="2:8">
      <c r="B38" s="100" t="s">
        <v>373</v>
      </c>
      <c r="C38" s="79">
        <v>7610055.6900000004</v>
      </c>
      <c r="D38" s="79">
        <v>29312442.82</v>
      </c>
      <c r="E38" s="113">
        <v>36922498.509999998</v>
      </c>
      <c r="F38" s="73">
        <f t="shared" si="3"/>
        <v>36922498.509999998</v>
      </c>
    </row>
    <row r="39" spans="2:8">
      <c r="B39" s="100" t="s">
        <v>374</v>
      </c>
      <c r="C39" s="79">
        <v>84726000</v>
      </c>
      <c r="D39" s="79">
        <v>398701857.44</v>
      </c>
      <c r="E39" s="113">
        <v>483427857.44</v>
      </c>
      <c r="F39" s="73">
        <f t="shared" si="3"/>
        <v>483427857.44</v>
      </c>
    </row>
    <row r="40" spans="2:8">
      <c r="B40" s="100" t="s">
        <v>375</v>
      </c>
      <c r="C40" s="79">
        <v>144961371.94999999</v>
      </c>
      <c r="D40" s="79">
        <v>307190538.64999998</v>
      </c>
      <c r="E40" s="113">
        <v>452151910.60000002</v>
      </c>
      <c r="F40" s="73">
        <f t="shared" si="3"/>
        <v>452151910.59999996</v>
      </c>
    </row>
    <row r="41" spans="2:8" ht="15" thickBot="1">
      <c r="B41" s="98" t="s">
        <v>376</v>
      </c>
      <c r="C41" s="83">
        <v>6611826.4299999997</v>
      </c>
      <c r="D41" s="83">
        <v>692929091.83000004</v>
      </c>
      <c r="E41" s="85">
        <v>699540918.25999999</v>
      </c>
      <c r="F41" s="73">
        <f t="shared" si="3"/>
        <v>699540918.25999999</v>
      </c>
    </row>
    <row r="42" spans="2:8">
      <c r="B42" s="338"/>
    </row>
    <row r="43" spans="2:8" ht="15" thickBot="1">
      <c r="B43" s="338"/>
    </row>
    <row r="44" spans="2:8" ht="15" thickBot="1">
      <c r="B44" s="75" t="s">
        <v>144</v>
      </c>
      <c r="C44" s="75">
        <v>2022</v>
      </c>
      <c r="D44" s="75">
        <v>2021</v>
      </c>
    </row>
    <row r="45" spans="2:8">
      <c r="B45" s="430" t="s">
        <v>401</v>
      </c>
      <c r="C45" s="430"/>
      <c r="D45" s="77"/>
    </row>
    <row r="46" spans="2:8">
      <c r="B46" s="81" t="s">
        <v>402</v>
      </c>
      <c r="C46" s="79">
        <v>6019190</v>
      </c>
      <c r="D46" s="79">
        <v>5448488.9199999999</v>
      </c>
    </row>
    <row r="47" spans="2:8" ht="15" thickBot="1">
      <c r="B47" s="82" t="s">
        <v>403</v>
      </c>
      <c r="C47" s="83">
        <v>96360292.900000006</v>
      </c>
      <c r="D47" s="83">
        <v>91180305.200000003</v>
      </c>
    </row>
    <row r="48" spans="2:8" ht="15" thickBot="1">
      <c r="B48" s="112" t="s">
        <v>190</v>
      </c>
      <c r="C48" s="85">
        <v>102379482.90000001</v>
      </c>
      <c r="D48" s="85">
        <v>96628794.120000005</v>
      </c>
      <c r="E48" s="73">
        <f>SUM(C46:C47)</f>
        <v>102379482.90000001</v>
      </c>
      <c r="F48" s="73">
        <f>SUM(D46:D47)</f>
        <v>96628794.120000005</v>
      </c>
      <c r="G48" s="73">
        <f>+C48-E48</f>
        <v>0</v>
      </c>
      <c r="H48" s="73">
        <f>+D48-F48</f>
        <v>0</v>
      </c>
    </row>
    <row r="49" spans="2:8">
      <c r="B49" s="76" t="s">
        <v>116</v>
      </c>
      <c r="C49" s="77"/>
      <c r="D49" s="77"/>
    </row>
    <row r="50" spans="2:8">
      <c r="B50" s="81" t="s">
        <v>404</v>
      </c>
      <c r="C50" s="79">
        <v>5729949911.7200003</v>
      </c>
      <c r="D50" s="79">
        <v>9175401484.9099998</v>
      </c>
    </row>
    <row r="51" spans="2:8">
      <c r="B51" s="81" t="s">
        <v>405</v>
      </c>
      <c r="C51" s="79">
        <v>-519489331.14999998</v>
      </c>
      <c r="D51" s="79">
        <v>-46522421.799999997</v>
      </c>
    </row>
    <row r="52" spans="2:8">
      <c r="B52" s="81" t="s">
        <v>881</v>
      </c>
      <c r="C52" s="79">
        <v>3516848505.4499998</v>
      </c>
      <c r="D52" s="79">
        <v>6378817442.0600004</v>
      </c>
    </row>
    <row r="53" spans="2:8">
      <c r="B53" s="81" t="s">
        <v>407</v>
      </c>
      <c r="C53" s="79">
        <v>-409255380.81999999</v>
      </c>
      <c r="D53" s="79">
        <v>-365040321.39999998</v>
      </c>
    </row>
    <row r="54" spans="2:8" ht="15" thickBot="1">
      <c r="B54" s="82" t="s">
        <v>408</v>
      </c>
      <c r="C54" s="83">
        <v>409456134.87</v>
      </c>
      <c r="D54" s="83">
        <v>404073115.29000002</v>
      </c>
    </row>
    <row r="55" spans="2:8" ht="15" thickBot="1">
      <c r="B55" s="112" t="s">
        <v>190</v>
      </c>
      <c r="C55" s="85">
        <v>8727509840.0699997</v>
      </c>
      <c r="D55" s="85">
        <v>15546729299.059999</v>
      </c>
      <c r="E55" s="73">
        <f>SUM(C50:C54)</f>
        <v>8727509840.0700016</v>
      </c>
      <c r="F55" s="73">
        <f>SUM(D50:D54)</f>
        <v>15546729299.060003</v>
      </c>
      <c r="G55" s="73">
        <f>+C55-E55</f>
        <v>0</v>
      </c>
      <c r="H55" s="73">
        <f>+D55-F55</f>
        <v>0</v>
      </c>
    </row>
    <row r="56" spans="2:8">
      <c r="B56" s="76" t="s">
        <v>117</v>
      </c>
      <c r="C56" s="134"/>
      <c r="D56" s="134"/>
    </row>
    <row r="57" spans="2:8">
      <c r="B57" s="81" t="s">
        <v>409</v>
      </c>
      <c r="C57" s="79">
        <v>3825942275.1900001</v>
      </c>
      <c r="D57" s="79">
        <v>4427343400.0699997</v>
      </c>
    </row>
    <row r="58" spans="2:8">
      <c r="B58" s="81" t="s">
        <v>410</v>
      </c>
      <c r="C58" s="79">
        <v>9406819.8699999992</v>
      </c>
      <c r="D58" s="79">
        <v>633544.43000000005</v>
      </c>
    </row>
    <row r="59" spans="2:8">
      <c r="B59" s="81" t="s">
        <v>411</v>
      </c>
      <c r="C59" s="79">
        <v>157605603.83000001</v>
      </c>
      <c r="D59" s="79">
        <v>153012117.47999999</v>
      </c>
    </row>
    <row r="60" spans="2:8" ht="15" thickBot="1">
      <c r="B60" s="82" t="s">
        <v>412</v>
      </c>
      <c r="C60" s="83">
        <v>14636424.08</v>
      </c>
      <c r="D60" s="83">
        <v>16549112.050000001</v>
      </c>
    </row>
    <row r="61" spans="2:8" ht="15" thickBot="1">
      <c r="B61" s="112" t="s">
        <v>190</v>
      </c>
      <c r="C61" s="85">
        <v>4007591122.9699998</v>
      </c>
      <c r="D61" s="85">
        <v>4597538174.0299997</v>
      </c>
      <c r="E61" s="73">
        <f>SUM(C56:C60)</f>
        <v>4007591122.9699998</v>
      </c>
      <c r="F61" s="73">
        <f>SUM(D56:D60)</f>
        <v>4597538174.0299997</v>
      </c>
      <c r="G61" s="73">
        <f>+C61-E61</f>
        <v>0</v>
      </c>
      <c r="H61" s="73">
        <f>+D61-F61</f>
        <v>0</v>
      </c>
    </row>
    <row r="62" spans="2:8">
      <c r="B62" s="76" t="s">
        <v>413</v>
      </c>
      <c r="C62" s="77"/>
      <c r="D62" s="77"/>
    </row>
    <row r="63" spans="2:8" ht="15" thickBot="1">
      <c r="B63" s="82" t="s">
        <v>882</v>
      </c>
      <c r="C63" s="83">
        <v>643209.56000000006</v>
      </c>
      <c r="D63" s="99">
        <v>800.5</v>
      </c>
    </row>
    <row r="64" spans="2:8" ht="15" thickBot="1">
      <c r="B64" s="112" t="s">
        <v>190</v>
      </c>
      <c r="C64" s="85">
        <v>643209.56000000006</v>
      </c>
      <c r="D64" s="171">
        <v>800.5</v>
      </c>
      <c r="E64" s="73">
        <f>+C64</f>
        <v>643209.56000000006</v>
      </c>
      <c r="F64" s="73">
        <f>+D64</f>
        <v>800.5</v>
      </c>
    </row>
    <row r="65" spans="2:8">
      <c r="B65" s="76" t="s">
        <v>415</v>
      </c>
      <c r="C65" s="77"/>
      <c r="D65" s="77"/>
    </row>
    <row r="66" spans="2:8" ht="28.2" thickBot="1">
      <c r="B66" s="82" t="s">
        <v>416</v>
      </c>
      <c r="C66" s="83">
        <v>208338885.31</v>
      </c>
      <c r="D66" s="83">
        <v>107378681.55</v>
      </c>
    </row>
    <row r="67" spans="2:8" ht="15" thickBot="1">
      <c r="B67" s="112" t="s">
        <v>190</v>
      </c>
      <c r="C67" s="85">
        <v>208338885.31</v>
      </c>
      <c r="D67" s="85">
        <v>107378681.55</v>
      </c>
      <c r="E67" s="73">
        <f>+C67</f>
        <v>208338885.31</v>
      </c>
      <c r="F67" s="73">
        <f>+D67</f>
        <v>107378681.55</v>
      </c>
    </row>
    <row r="68" spans="2:8" ht="15" thickBot="1">
      <c r="B68" s="84" t="s">
        <v>35</v>
      </c>
      <c r="C68" s="85">
        <v>13046462540.809999</v>
      </c>
      <c r="D68" s="106">
        <v>20348275749.259998</v>
      </c>
      <c r="E68" s="87">
        <f>SUM(E45:E67)</f>
        <v>13046462540.809999</v>
      </c>
      <c r="F68" s="87">
        <f>SUM(F45:F67)</f>
        <v>20348275749.260002</v>
      </c>
      <c r="G68" s="73">
        <f>+C68-E68</f>
        <v>0</v>
      </c>
      <c r="H68" s="73">
        <f>+D68-F68</f>
        <v>0</v>
      </c>
    </row>
    <row r="69" spans="2:8">
      <c r="B69" s="338"/>
    </row>
    <row r="70" spans="2:8">
      <c r="B70" s="338"/>
    </row>
    <row r="71" spans="2:8" ht="15" thickBot="1">
      <c r="B71" s="338"/>
    </row>
    <row r="72" spans="2:8" ht="15" thickBot="1">
      <c r="B72" s="121" t="s">
        <v>64</v>
      </c>
      <c r="C72" s="121">
        <v>2022</v>
      </c>
    </row>
    <row r="73" spans="2:8">
      <c r="B73" s="76" t="s">
        <v>565</v>
      </c>
      <c r="C73" s="113">
        <v>2483985381.48</v>
      </c>
    </row>
    <row r="74" spans="2:8">
      <c r="B74" s="100" t="s">
        <v>566</v>
      </c>
      <c r="C74" s="79">
        <v>-28178905.449999999</v>
      </c>
    </row>
    <row r="75" spans="2:8">
      <c r="B75" s="100" t="s">
        <v>567</v>
      </c>
      <c r="C75" s="147"/>
    </row>
    <row r="76" spans="2:8">
      <c r="B76" s="100" t="s">
        <v>336</v>
      </c>
      <c r="C76" s="79">
        <v>1459648011.6500001</v>
      </c>
    </row>
    <row r="77" spans="2:8">
      <c r="B77" s="100" t="s">
        <v>568</v>
      </c>
      <c r="C77" s="79">
        <v>-217442602.38999999</v>
      </c>
    </row>
    <row r="78" spans="2:8">
      <c r="B78" s="100" t="s">
        <v>569</v>
      </c>
      <c r="C78" s="79">
        <v>-4921062.93</v>
      </c>
    </row>
    <row r="79" spans="2:8">
      <c r="B79" s="100" t="s">
        <v>570</v>
      </c>
      <c r="C79" s="79">
        <v>-2470731655.0799999</v>
      </c>
    </row>
    <row r="80" spans="2:8">
      <c r="B80" s="100" t="s">
        <v>571</v>
      </c>
      <c r="C80" s="79">
        <v>-5164207.04</v>
      </c>
    </row>
    <row r="81" spans="2:5">
      <c r="B81" s="100" t="s">
        <v>572</v>
      </c>
      <c r="C81" s="79">
        <v>-2136120562.8599999</v>
      </c>
    </row>
    <row r="82" spans="2:5">
      <c r="B82" s="100" t="s">
        <v>573</v>
      </c>
      <c r="C82" s="79">
        <v>-624635203.38</v>
      </c>
    </row>
    <row r="83" spans="2:5" ht="27.6">
      <c r="B83" s="340" t="s">
        <v>574</v>
      </c>
      <c r="C83" s="79">
        <v>-733147145.27999997</v>
      </c>
    </row>
    <row r="84" spans="2:5" ht="15" thickBot="1">
      <c r="B84" s="184" t="s">
        <v>575</v>
      </c>
      <c r="C84" s="188">
        <v>3870272043.8800001</v>
      </c>
    </row>
    <row r="85" spans="2:5" ht="15" thickBot="1">
      <c r="B85" s="185" t="s">
        <v>576</v>
      </c>
      <c r="C85" s="190">
        <v>1593564092.5999999</v>
      </c>
      <c r="D85" s="87">
        <f>+SCF!D22</f>
        <v>1593564092.5990028</v>
      </c>
      <c r="E85" s="210">
        <f>+C85-D85</f>
        <v>9.9706649780273438E-4</v>
      </c>
    </row>
    <row r="86" spans="2:5">
      <c r="B86" s="339"/>
    </row>
    <row r="87" spans="2:5" ht="15" thickBot="1">
      <c r="B87" s="338"/>
    </row>
    <row r="88" spans="2:5">
      <c r="B88" s="436" t="s">
        <v>64</v>
      </c>
      <c r="C88" s="191" t="s">
        <v>577</v>
      </c>
    </row>
    <row r="89" spans="2:5" ht="15" thickBot="1">
      <c r="B89" s="437"/>
      <c r="C89" s="192" t="s">
        <v>578</v>
      </c>
    </row>
    <row r="90" spans="2:5">
      <c r="B90" s="122" t="s">
        <v>187</v>
      </c>
      <c r="C90" s="79">
        <v>1332921405.75</v>
      </c>
    </row>
    <row r="91" spans="2:5">
      <c r="B91" s="122" t="s">
        <v>188</v>
      </c>
      <c r="C91" s="79">
        <v>537972780.00999999</v>
      </c>
    </row>
    <row r="92" spans="2:5">
      <c r="B92" s="122" t="s">
        <v>240</v>
      </c>
      <c r="C92" s="79">
        <v>9637968.3100000005</v>
      </c>
    </row>
    <row r="93" spans="2:5">
      <c r="B93" s="122" t="s">
        <v>579</v>
      </c>
      <c r="C93" s="79">
        <v>562173604.90999997</v>
      </c>
    </row>
    <row r="94" spans="2:5">
      <c r="B94" s="122" t="s">
        <v>241</v>
      </c>
      <c r="C94" s="79">
        <v>21455973.989999998</v>
      </c>
    </row>
    <row r="95" spans="2:5">
      <c r="B95" s="122" t="s">
        <v>580</v>
      </c>
      <c r="C95" s="79">
        <v>1400340.57</v>
      </c>
    </row>
    <row r="96" spans="2:5">
      <c r="B96" s="122" t="s">
        <v>581</v>
      </c>
      <c r="C96" s="79">
        <v>916209.36</v>
      </c>
    </row>
    <row r="97" spans="2:7">
      <c r="B97" s="122" t="s">
        <v>247</v>
      </c>
      <c r="C97" s="79">
        <v>81814623.180000007</v>
      </c>
    </row>
    <row r="98" spans="2:7">
      <c r="B98" s="122" t="s">
        <v>248</v>
      </c>
      <c r="C98" s="79">
        <v>625615346.44000006</v>
      </c>
    </row>
    <row r="99" spans="2:7" ht="27.6">
      <c r="B99" s="122" t="s">
        <v>582</v>
      </c>
      <c r="C99" s="79">
        <v>613607976.34000003</v>
      </c>
    </row>
    <row r="100" spans="2:7">
      <c r="B100" s="122" t="s">
        <v>583</v>
      </c>
      <c r="C100" s="79">
        <v>23058498.66</v>
      </c>
    </row>
    <row r="101" spans="2:7">
      <c r="B101" s="122" t="s">
        <v>252</v>
      </c>
      <c r="C101" s="79">
        <v>16794473.059999999</v>
      </c>
    </row>
    <row r="102" spans="2:7" ht="15" thickBot="1">
      <c r="B102" s="122" t="s">
        <v>584</v>
      </c>
      <c r="C102" s="79">
        <v>42902843.299999997</v>
      </c>
    </row>
    <row r="103" spans="2:7" ht="15" thickBot="1">
      <c r="B103" s="194"/>
      <c r="C103" s="120">
        <v>3870272043.8800001</v>
      </c>
    </row>
    <row r="104" spans="2:7">
      <c r="C104" s="73">
        <f>SUM(C90:C102)</f>
        <v>3870272043.8800001</v>
      </c>
    </row>
    <row r="105" spans="2:7">
      <c r="C105" s="73">
        <f>+C103-C104</f>
        <v>0</v>
      </c>
    </row>
    <row r="108" spans="2:7" ht="15" thickBot="1"/>
    <row r="109" spans="2:7" ht="15" thickBot="1">
      <c r="B109" s="341"/>
      <c r="C109" s="342" t="s">
        <v>585</v>
      </c>
      <c r="D109" s="342" t="s">
        <v>93</v>
      </c>
      <c r="E109" s="342" t="s">
        <v>586</v>
      </c>
      <c r="F109" s="342" t="s">
        <v>39</v>
      </c>
      <c r="G109" s="342" t="s">
        <v>94</v>
      </c>
    </row>
    <row r="110" spans="2:7">
      <c r="B110" s="343" t="s">
        <v>587</v>
      </c>
      <c r="C110" s="344">
        <v>21040656484.560001</v>
      </c>
      <c r="D110" s="344">
        <v>5175191498.29</v>
      </c>
      <c r="E110" s="344">
        <v>11854232352.23</v>
      </c>
      <c r="F110" s="344">
        <v>333782154.52999997</v>
      </c>
      <c r="G110" s="344">
        <v>3142921296.8299999</v>
      </c>
    </row>
    <row r="111" spans="2:7">
      <c r="B111" s="343" t="s">
        <v>588</v>
      </c>
      <c r="C111" s="345"/>
      <c r="D111" s="346"/>
      <c r="E111" s="346"/>
      <c r="F111" s="346"/>
      <c r="G111" s="346"/>
    </row>
    <row r="112" spans="2:7">
      <c r="B112" s="343" t="s">
        <v>589</v>
      </c>
      <c r="C112" s="345" t="s">
        <v>165</v>
      </c>
      <c r="D112" s="346" t="s">
        <v>165</v>
      </c>
      <c r="E112" s="346" t="s">
        <v>165</v>
      </c>
      <c r="F112" s="346" t="s">
        <v>165</v>
      </c>
      <c r="G112" s="346" t="s">
        <v>165</v>
      </c>
    </row>
    <row r="113" spans="2:7">
      <c r="B113" s="343" t="s">
        <v>590</v>
      </c>
      <c r="C113" s="345" t="s">
        <v>165</v>
      </c>
      <c r="D113" s="346" t="s">
        <v>165</v>
      </c>
      <c r="E113" s="346" t="s">
        <v>165</v>
      </c>
      <c r="F113" s="346" t="s">
        <v>165</v>
      </c>
      <c r="G113" s="346" t="s">
        <v>165</v>
      </c>
    </row>
    <row r="114" spans="2:7">
      <c r="B114" s="343" t="s">
        <v>120</v>
      </c>
      <c r="C114" s="344">
        <v>-4921063.93</v>
      </c>
      <c r="D114" s="346" t="s">
        <v>165</v>
      </c>
      <c r="E114" s="346" t="s">
        <v>165</v>
      </c>
      <c r="F114" s="346" t="s">
        <v>165</v>
      </c>
      <c r="G114" s="346" t="s">
        <v>165</v>
      </c>
    </row>
    <row r="115" spans="2:7">
      <c r="B115" s="343" t="s">
        <v>883</v>
      </c>
      <c r="C115" s="344">
        <v>-1344183199.1400001</v>
      </c>
      <c r="D115" s="346" t="s">
        <v>165</v>
      </c>
      <c r="E115" s="346" t="s">
        <v>165</v>
      </c>
      <c r="F115" s="346" t="s">
        <v>165</v>
      </c>
      <c r="G115" s="346" t="s">
        <v>165</v>
      </c>
    </row>
    <row r="116" spans="2:7">
      <c r="B116" s="343" t="s">
        <v>592</v>
      </c>
      <c r="C116" s="345"/>
      <c r="D116" s="345"/>
      <c r="E116" s="346"/>
      <c r="F116" s="346"/>
      <c r="G116" s="346"/>
    </row>
    <row r="117" spans="2:7">
      <c r="B117" s="343" t="s">
        <v>593</v>
      </c>
      <c r="C117" s="346" t="s">
        <v>165</v>
      </c>
      <c r="D117" s="346" t="s">
        <v>165</v>
      </c>
      <c r="E117" s="346" t="s">
        <v>165</v>
      </c>
      <c r="F117" s="346" t="s">
        <v>165</v>
      </c>
      <c r="G117" s="346" t="s">
        <v>165</v>
      </c>
    </row>
    <row r="118" spans="2:7">
      <c r="B118" s="343" t="s">
        <v>594</v>
      </c>
      <c r="C118" s="346" t="s">
        <v>165</v>
      </c>
      <c r="D118" s="346" t="s">
        <v>165</v>
      </c>
      <c r="E118" s="346" t="s">
        <v>165</v>
      </c>
      <c r="F118" s="346" t="s">
        <v>165</v>
      </c>
      <c r="G118" s="346" t="s">
        <v>165</v>
      </c>
    </row>
    <row r="119" spans="2:7">
      <c r="B119" s="343" t="s">
        <v>595</v>
      </c>
      <c r="C119" s="346" t="s">
        <v>165</v>
      </c>
      <c r="D119" s="346" t="s">
        <v>165</v>
      </c>
      <c r="E119" s="344">
        <v>1459648011.6500001</v>
      </c>
      <c r="F119" s="346" t="s">
        <v>165</v>
      </c>
      <c r="G119" s="346" t="s">
        <v>165</v>
      </c>
    </row>
    <row r="120" spans="2:7">
      <c r="B120" s="343" t="s">
        <v>884</v>
      </c>
      <c r="C120" s="346" t="s">
        <v>165</v>
      </c>
      <c r="D120" s="346" t="s">
        <v>165</v>
      </c>
      <c r="E120" s="346" t="s">
        <v>165</v>
      </c>
      <c r="F120" s="344">
        <v>-152851140.09</v>
      </c>
      <c r="G120" s="344">
        <v>-1477433440.6199999</v>
      </c>
    </row>
    <row r="121" spans="2:7">
      <c r="B121" s="343" t="s">
        <v>885</v>
      </c>
      <c r="C121" s="346" t="s">
        <v>165</v>
      </c>
      <c r="D121" s="346" t="s">
        <v>165</v>
      </c>
      <c r="E121" s="346" t="s">
        <v>165</v>
      </c>
      <c r="F121" s="346" t="s">
        <v>165</v>
      </c>
      <c r="G121" s="344">
        <v>-1665487856.21</v>
      </c>
    </row>
    <row r="122" spans="2:7">
      <c r="B122" s="343" t="s">
        <v>598</v>
      </c>
      <c r="C122" s="346" t="s">
        <v>165</v>
      </c>
      <c r="D122" s="346" t="s">
        <v>165</v>
      </c>
      <c r="E122" s="344">
        <v>-1942925519.6700001</v>
      </c>
      <c r="F122" s="346" t="s">
        <v>165</v>
      </c>
      <c r="G122" s="346" t="s">
        <v>165</v>
      </c>
    </row>
    <row r="123" spans="2:7" ht="15" thickBot="1">
      <c r="B123" s="343" t="s">
        <v>883</v>
      </c>
      <c r="C123" s="346" t="s">
        <v>165</v>
      </c>
      <c r="D123" s="346" t="s">
        <v>165</v>
      </c>
      <c r="E123" s="344">
        <v>-2139384464.01</v>
      </c>
      <c r="F123" s="346" t="s">
        <v>165</v>
      </c>
      <c r="G123" s="346" t="s">
        <v>165</v>
      </c>
    </row>
    <row r="124" spans="2:7" ht="15" thickBot="1">
      <c r="B124" s="347" t="s">
        <v>599</v>
      </c>
      <c r="C124" s="348">
        <v>19691552221.490002</v>
      </c>
      <c r="D124" s="348">
        <v>5175191498.29</v>
      </c>
      <c r="E124" s="348">
        <v>9231570380.2000008</v>
      </c>
      <c r="F124" s="348">
        <v>180931014.44</v>
      </c>
      <c r="G124" s="349">
        <v>0</v>
      </c>
    </row>
    <row r="125" spans="2:7" ht="15" thickBot="1">
      <c r="B125" s="350"/>
      <c r="C125" s="351">
        <f>SUM(C110:C123)</f>
        <v>19691552221.490002</v>
      </c>
      <c r="D125" s="351">
        <f t="shared" ref="D125:G125" si="4">SUM(D110:D123)</f>
        <v>5175191498.29</v>
      </c>
      <c r="E125" s="351">
        <f t="shared" si="4"/>
        <v>9231570380.1999989</v>
      </c>
      <c r="F125" s="351">
        <f t="shared" si="4"/>
        <v>180931014.43999997</v>
      </c>
      <c r="G125" s="351">
        <f t="shared" si="4"/>
        <v>0</v>
      </c>
    </row>
    <row r="126" spans="2:7">
      <c r="B126" s="338"/>
      <c r="C126" s="73">
        <f>+C124-C125</f>
        <v>0</v>
      </c>
      <c r="D126" s="73">
        <f t="shared" ref="D126:G126" si="5">+D124-D125</f>
        <v>0</v>
      </c>
      <c r="E126" s="73">
        <f t="shared" si="5"/>
        <v>0</v>
      </c>
      <c r="F126" s="73">
        <f t="shared" si="5"/>
        <v>0</v>
      </c>
      <c r="G126" s="73">
        <f t="shared" si="5"/>
        <v>0</v>
      </c>
    </row>
    <row r="127" spans="2:7">
      <c r="B127" s="338"/>
    </row>
    <row r="128" spans="2:7" ht="15" thickBot="1">
      <c r="B128" s="338"/>
    </row>
    <row r="129" spans="2:7" ht="15" thickBot="1">
      <c r="B129" s="125" t="s">
        <v>64</v>
      </c>
      <c r="C129" s="125" t="s">
        <v>602</v>
      </c>
      <c r="D129" s="125" t="s">
        <v>603</v>
      </c>
      <c r="E129" s="125" t="s">
        <v>604</v>
      </c>
    </row>
    <row r="130" spans="2:7">
      <c r="B130" s="76" t="s">
        <v>114</v>
      </c>
      <c r="C130" s="113">
        <v>36246902938.57</v>
      </c>
      <c r="D130" s="113">
        <v>3826446060.3200002</v>
      </c>
      <c r="E130" s="113">
        <v>40073348998.889999</v>
      </c>
      <c r="F130" s="73">
        <f>+C130+D130</f>
        <v>40073348998.889999</v>
      </c>
      <c r="G130" s="73">
        <f>+E130-F130</f>
        <v>0</v>
      </c>
    </row>
    <row r="131" spans="2:7">
      <c r="B131" s="100" t="s">
        <v>42</v>
      </c>
      <c r="C131" s="77"/>
      <c r="D131" s="77"/>
      <c r="E131" s="77"/>
    </row>
    <row r="132" spans="2:7" ht="15" thickBot="1">
      <c r="B132" s="100" t="s">
        <v>654</v>
      </c>
      <c r="C132" s="77" t="s">
        <v>165</v>
      </c>
      <c r="D132" s="77" t="s">
        <v>165</v>
      </c>
      <c r="E132" s="77" t="s">
        <v>165</v>
      </c>
    </row>
    <row r="133" spans="2:7" ht="15" thickBot="1">
      <c r="B133" s="204" t="s">
        <v>124</v>
      </c>
      <c r="C133" s="205">
        <v>36246902938.57</v>
      </c>
      <c r="D133" s="205">
        <v>3826446060.3200002</v>
      </c>
      <c r="E133" s="205">
        <v>40073348998.889999</v>
      </c>
      <c r="F133" s="73">
        <f>+C133+D133</f>
        <v>40073348998.889999</v>
      </c>
      <c r="G133" s="73">
        <f>+E133-F133</f>
        <v>0</v>
      </c>
    </row>
    <row r="134" spans="2:7" ht="27.6">
      <c r="B134" s="76" t="s">
        <v>720</v>
      </c>
      <c r="C134" s="134"/>
      <c r="D134" s="77"/>
      <c r="E134" s="77"/>
    </row>
    <row r="135" spans="2:7" ht="15" thickBot="1">
      <c r="B135" s="184" t="s">
        <v>43</v>
      </c>
      <c r="C135" s="79">
        <v>4117717270.4400001</v>
      </c>
      <c r="D135" s="79">
        <v>254220078.94999999</v>
      </c>
      <c r="E135" s="79">
        <v>4371937349.3900003</v>
      </c>
      <c r="F135" s="73">
        <f>+C135+D135</f>
        <v>4371937349.3900003</v>
      </c>
      <c r="G135" s="73">
        <f>+E135-F135</f>
        <v>0</v>
      </c>
    </row>
    <row r="136" spans="2:7" ht="15" thickBot="1">
      <c r="B136" s="185" t="s">
        <v>115</v>
      </c>
      <c r="C136" s="205">
        <v>40364620209.010002</v>
      </c>
      <c r="D136" s="205">
        <v>4080666139.27</v>
      </c>
      <c r="E136" s="205">
        <v>44445286348.279999</v>
      </c>
      <c r="F136" s="73">
        <f>+C136+D136</f>
        <v>44445286348.279999</v>
      </c>
      <c r="G136" s="73">
        <f>+E136-F136</f>
        <v>0</v>
      </c>
    </row>
    <row r="137" spans="2:7">
      <c r="B137" s="352"/>
      <c r="F137" s="87">
        <f>+SCNAE!E15</f>
        <v>44445286348.279999</v>
      </c>
      <c r="G137" s="73">
        <f>+F133+F135</f>
        <v>44445286348.279999</v>
      </c>
    </row>
    <row r="138" spans="2:7">
      <c r="B138" s="338"/>
      <c r="F138" s="73">
        <f>+F136-F137</f>
        <v>0</v>
      </c>
      <c r="G138" s="73">
        <f>+G137-F137</f>
        <v>0</v>
      </c>
    </row>
    <row r="139" spans="2:7">
      <c r="B139" s="338"/>
    </row>
    <row r="140" spans="2:7">
      <c r="B140" s="338"/>
    </row>
    <row r="141" spans="2:7">
      <c r="B141" s="338"/>
    </row>
    <row r="142" spans="2:7" ht="15" thickBot="1"/>
    <row r="143" spans="2:7" ht="15" thickBot="1">
      <c r="B143" s="249" t="s">
        <v>64</v>
      </c>
      <c r="C143" s="249" t="s">
        <v>754</v>
      </c>
      <c r="D143" s="249" t="s">
        <v>755</v>
      </c>
      <c r="E143" s="87"/>
      <c r="F143" s="87"/>
    </row>
    <row r="144" spans="2:7" ht="15" thickBot="1">
      <c r="B144" s="353" t="s">
        <v>757</v>
      </c>
      <c r="C144" s="360">
        <v>7024061617.4899998</v>
      </c>
      <c r="D144" s="360">
        <v>3514868582.1500001</v>
      </c>
      <c r="E144" s="87"/>
      <c r="F144" s="87"/>
    </row>
    <row r="145" spans="2:8" ht="15" thickBot="1">
      <c r="B145" s="254" t="s">
        <v>886</v>
      </c>
      <c r="C145" s="181">
        <v>1834883456.46</v>
      </c>
      <c r="D145" s="181">
        <v>2268794725.5799999</v>
      </c>
      <c r="E145" s="87"/>
      <c r="F145" s="87"/>
    </row>
    <row r="146" spans="2:8">
      <c r="B146" s="251" t="s">
        <v>887</v>
      </c>
      <c r="C146" s="354">
        <v>8858945073.9500008</v>
      </c>
      <c r="D146" s="354">
        <v>5783663307.7299995</v>
      </c>
      <c r="E146" s="87">
        <f>SUM(C144:C145)</f>
        <v>8858945073.9500008</v>
      </c>
      <c r="F146" s="87">
        <f>SUM(D144:D145)</f>
        <v>5783663307.7299995</v>
      </c>
      <c r="G146" s="210">
        <f>+C146-E146</f>
        <v>0</v>
      </c>
      <c r="H146" s="210">
        <f>+D146-F146</f>
        <v>0</v>
      </c>
    </row>
    <row r="147" spans="2:8">
      <c r="B147" s="251" t="s">
        <v>758</v>
      </c>
      <c r="C147" s="180">
        <v>30503556.57</v>
      </c>
      <c r="D147" s="180">
        <v>522735310.88999999</v>
      </c>
      <c r="E147" s="87"/>
      <c r="F147" s="87"/>
    </row>
    <row r="148" spans="2:8" ht="15" thickBot="1">
      <c r="B148" s="254" t="s">
        <v>759</v>
      </c>
      <c r="C148" s="181">
        <v>6400604479.8500004</v>
      </c>
      <c r="D148" s="181">
        <v>1748605898.8399999</v>
      </c>
      <c r="E148" s="87"/>
      <c r="F148" s="87"/>
    </row>
    <row r="149" spans="2:8" ht="15" thickBot="1">
      <c r="B149" s="255" t="s">
        <v>35</v>
      </c>
      <c r="C149" s="181">
        <v>15290053110.370001</v>
      </c>
      <c r="D149" s="181">
        <v>8055004517.46</v>
      </c>
      <c r="E149" s="87">
        <f>SUM(C146:C148)</f>
        <v>15290053110.370001</v>
      </c>
      <c r="F149" s="87">
        <f>SUM(D146:D148)</f>
        <v>8055004517.46</v>
      </c>
      <c r="G149" s="210">
        <f>+C149-E149</f>
        <v>0</v>
      </c>
      <c r="H149" s="210">
        <f>+D149-F149</f>
        <v>0</v>
      </c>
    </row>
    <row r="150" spans="2:8">
      <c r="B150" s="256" t="s">
        <v>760</v>
      </c>
      <c r="C150" s="257">
        <v>-921057005.75</v>
      </c>
      <c r="D150" s="257">
        <v>-473804726.31</v>
      </c>
      <c r="E150" s="87"/>
      <c r="F150" s="87"/>
    </row>
    <row r="151" spans="2:8" ht="26.4">
      <c r="B151" s="251" t="s">
        <v>761</v>
      </c>
      <c r="C151" s="257">
        <v>-36383953.759999998</v>
      </c>
      <c r="D151" s="257">
        <v>-18126733.629999999</v>
      </c>
      <c r="E151" s="87"/>
      <c r="F151" s="87"/>
    </row>
    <row r="152" spans="2:8" ht="15" thickBot="1">
      <c r="B152" s="251" t="s">
        <v>762</v>
      </c>
      <c r="C152" s="180">
        <v>-2944540518.5900002</v>
      </c>
      <c r="D152" s="180">
        <v>-1622171452.0899999</v>
      </c>
      <c r="E152" s="87"/>
      <c r="F152" s="87"/>
    </row>
    <row r="153" spans="2:8" ht="15" thickBot="1">
      <c r="B153" s="258" t="s">
        <v>763</v>
      </c>
      <c r="C153" s="259">
        <v>11388071632.27</v>
      </c>
      <c r="D153" s="259">
        <v>5940901605.4300003</v>
      </c>
      <c r="E153" s="87">
        <f>SUM(C149:C152)</f>
        <v>11388071632.27</v>
      </c>
      <c r="F153" s="87">
        <f>SUM(D149:D152)</f>
        <v>5940901605.4299994</v>
      </c>
      <c r="G153" s="210">
        <f>+C153-E153</f>
        <v>0</v>
      </c>
      <c r="H153" s="210">
        <f>+D153-F153</f>
        <v>0</v>
      </c>
    </row>
    <row r="154" spans="2:8" ht="15" thickBot="1">
      <c r="B154" s="254"/>
      <c r="C154" s="254"/>
      <c r="D154" s="254"/>
      <c r="E154" s="87"/>
      <c r="F154" s="87"/>
    </row>
    <row r="155" spans="2:8" ht="24.6" customHeight="1">
      <c r="B155" s="260"/>
      <c r="C155" s="461" t="s">
        <v>764</v>
      </c>
      <c r="D155" s="461" t="s">
        <v>765</v>
      </c>
      <c r="E155" s="87"/>
      <c r="F155" s="87"/>
    </row>
    <row r="156" spans="2:8" ht="15" thickBot="1">
      <c r="B156" s="224" t="s">
        <v>64</v>
      </c>
      <c r="C156" s="462"/>
      <c r="D156" s="462"/>
      <c r="E156" s="87"/>
      <c r="F156" s="87"/>
    </row>
    <row r="157" spans="2:8" ht="15" thickBot="1">
      <c r="B157" s="251" t="s">
        <v>766</v>
      </c>
      <c r="C157" s="257">
        <v>1203765940.4200001</v>
      </c>
      <c r="D157" s="257">
        <v>282460878.01999998</v>
      </c>
      <c r="E157" s="87"/>
      <c r="F157" s="87"/>
    </row>
    <row r="158" spans="2:8" ht="15" thickBot="1">
      <c r="B158" s="355" t="s">
        <v>886</v>
      </c>
      <c r="C158" s="356">
        <v>976527961.22000003</v>
      </c>
      <c r="D158" s="356">
        <v>443453916.00999999</v>
      </c>
      <c r="E158" s="87"/>
      <c r="F158" s="87"/>
    </row>
    <row r="159" spans="2:8" ht="15" thickBot="1">
      <c r="B159" s="353" t="s">
        <v>887</v>
      </c>
      <c r="C159" s="357">
        <v>2180293901.6399999</v>
      </c>
      <c r="D159" s="357">
        <v>725914794.02999997</v>
      </c>
      <c r="E159" s="87">
        <f>SUM(C157:C158)</f>
        <v>2180293901.6400003</v>
      </c>
      <c r="F159" s="87">
        <f>SUM(D157:D158)</f>
        <v>725914794.02999997</v>
      </c>
      <c r="G159" s="210">
        <f>+C159-E159</f>
        <v>0</v>
      </c>
      <c r="H159" s="210">
        <f>+D159-F159</f>
        <v>0</v>
      </c>
    </row>
    <row r="160" spans="2:8" ht="15" thickBot="1">
      <c r="B160" s="353" t="s">
        <v>758</v>
      </c>
      <c r="C160" s="358">
        <v>773502111.51999998</v>
      </c>
      <c r="D160" s="358">
        <v>951093951.91999996</v>
      </c>
      <c r="E160" s="87"/>
      <c r="F160" s="87"/>
    </row>
    <row r="161" spans="2:8" ht="15" thickBot="1">
      <c r="B161" s="254" t="s">
        <v>767</v>
      </c>
      <c r="C161" s="261">
        <v>3085213656.3899999</v>
      </c>
      <c r="D161" s="261">
        <v>1704857486.9100001</v>
      </c>
      <c r="E161" s="87"/>
      <c r="F161" s="87"/>
    </row>
    <row r="162" spans="2:8" ht="15" thickBot="1">
      <c r="B162" s="254" t="s">
        <v>35</v>
      </c>
      <c r="C162" s="261">
        <v>6039009669.5500002</v>
      </c>
      <c r="D162" s="261">
        <v>3381866232.8600001</v>
      </c>
      <c r="E162" s="87">
        <f>SUM(C159:C161)</f>
        <v>6039009669.5499992</v>
      </c>
      <c r="F162" s="87">
        <f>SUM(D159:D161)</f>
        <v>3381866232.8599997</v>
      </c>
      <c r="G162" s="210">
        <f>+C162-E162</f>
        <v>0</v>
      </c>
      <c r="H162" s="210">
        <f>+D162-F162</f>
        <v>0</v>
      </c>
    </row>
    <row r="163" spans="2:8">
      <c r="B163" s="251" t="s">
        <v>768</v>
      </c>
      <c r="C163" s="257">
        <v>-2958623835.1999998</v>
      </c>
      <c r="D163" s="257">
        <v>-1630542037.3900001</v>
      </c>
      <c r="E163" s="87"/>
      <c r="F163" s="87"/>
    </row>
    <row r="164" spans="2:8" ht="26.4">
      <c r="B164" s="251" t="s">
        <v>769</v>
      </c>
      <c r="C164" s="257">
        <v>5569551.7000000002</v>
      </c>
      <c r="D164" s="257">
        <v>-46122427.939999998</v>
      </c>
      <c r="E164" s="87"/>
      <c r="F164" s="87"/>
    </row>
    <row r="165" spans="2:8" ht="15" thickBot="1">
      <c r="B165" s="254" t="s">
        <v>770</v>
      </c>
      <c r="C165" s="261">
        <v>-42760.36</v>
      </c>
      <c r="D165" s="262">
        <v>0</v>
      </c>
      <c r="E165" s="87"/>
      <c r="F165" s="87"/>
    </row>
    <row r="166" spans="2:8" ht="27" thickBot="1">
      <c r="B166" s="263" t="s">
        <v>771</v>
      </c>
      <c r="C166" s="264">
        <v>3085912625.6900001</v>
      </c>
      <c r="D166" s="264">
        <v>1705201767.53</v>
      </c>
      <c r="E166" s="87">
        <f>SUM(C162:C165)</f>
        <v>3085912625.6900001</v>
      </c>
      <c r="F166" s="87">
        <f>SUM(D162:D165)</f>
        <v>1705201767.53</v>
      </c>
      <c r="G166" s="210">
        <f>+C166-E166</f>
        <v>0</v>
      </c>
      <c r="H166" s="210">
        <f>+D166-F166</f>
        <v>0</v>
      </c>
    </row>
    <row r="167" spans="2:8" ht="15" thickBot="1">
      <c r="B167" s="263" t="s">
        <v>772</v>
      </c>
      <c r="C167" s="265"/>
      <c r="D167" s="265" t="s">
        <v>888</v>
      </c>
      <c r="E167" s="87">
        <f>+E166+F166</f>
        <v>4791114393.2200003</v>
      </c>
      <c r="F167" s="87"/>
    </row>
    <row r="168" spans="2:8">
      <c r="B168" s="339"/>
    </row>
    <row r="169" spans="2:8">
      <c r="B169" s="339"/>
    </row>
    <row r="170" spans="2:8">
      <c r="B170" s="339"/>
    </row>
    <row r="171" spans="2:8">
      <c r="B171" s="339"/>
    </row>
    <row r="172" spans="2:8">
      <c r="B172" s="339"/>
    </row>
    <row r="173" spans="2:8">
      <c r="B173" s="359"/>
    </row>
    <row r="174" spans="2:8">
      <c r="B174" s="359"/>
    </row>
    <row r="175" spans="2:8">
      <c r="B175" s="339"/>
    </row>
    <row r="176" spans="2:8">
      <c r="B176" s="339"/>
    </row>
    <row r="177" spans="2:2">
      <c r="B177" s="339"/>
    </row>
    <row r="178" spans="2:2">
      <c r="B178" s="339"/>
    </row>
    <row r="179" spans="2:2">
      <c r="B179" s="359"/>
    </row>
  </sheetData>
  <mergeCells count="4">
    <mergeCell ref="B45:C45"/>
    <mergeCell ref="B88:B89"/>
    <mergeCell ref="C155:C156"/>
    <mergeCell ref="D155:D1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16</vt:i4>
      </vt:variant>
    </vt:vector>
  </HeadingPairs>
  <TitlesOfParts>
    <vt:vector size="29" baseType="lpstr">
      <vt:lpstr>SFPo</vt:lpstr>
      <vt:lpstr>SFPe</vt:lpstr>
      <vt:lpstr>SCNAE</vt:lpstr>
      <vt:lpstr>SCF</vt:lpstr>
      <vt:lpstr>SCBAA</vt:lpstr>
      <vt:lpstr>NFS</vt:lpstr>
      <vt:lpstr>PPE</vt:lpstr>
      <vt:lpstr>Recon_BAA-FP</vt:lpstr>
      <vt:lpstr>Restatement</vt:lpstr>
      <vt:lpstr>ExecSum</vt:lpstr>
      <vt:lpstr>ExecSum-revised</vt:lpstr>
      <vt:lpstr>Part2</vt:lpstr>
      <vt:lpstr>051523</vt:lpstr>
      <vt:lpstr>'051523'!_Hlk134610415</vt:lpstr>
      <vt:lpstr>'051523'!OLE_LINK11</vt:lpstr>
      <vt:lpstr>'051523'!OLE_LINK13</vt:lpstr>
      <vt:lpstr>Restatement!OLE_LINK3</vt:lpstr>
      <vt:lpstr>Restatement!OLE_LINK4</vt:lpstr>
      <vt:lpstr>Restatement!OLE_LINK5</vt:lpstr>
      <vt:lpstr>Restatement!OLE_LINK6</vt:lpstr>
      <vt:lpstr>Restatement!OLE_LINK7</vt:lpstr>
      <vt:lpstr>Restatement!OLE_LINK8</vt:lpstr>
      <vt:lpstr>'051523'!OLE_LINK9</vt:lpstr>
      <vt:lpstr>SCBAA!Print_Area</vt:lpstr>
      <vt:lpstr>SCF!Print_Area</vt:lpstr>
      <vt:lpstr>SCNAE!Print_Area</vt:lpstr>
      <vt:lpstr>SFPe!Print_Area</vt:lpstr>
      <vt:lpstr>SFPo!Print_Area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Manila City, NCR</dc:creator>
  <cp:lastModifiedBy>Riziel C. Garcia</cp:lastModifiedBy>
  <cp:lastPrinted>2023-06-19T23:45:25Z</cp:lastPrinted>
  <dcterms:created xsi:type="dcterms:W3CDTF">2020-09-29T05:05:58Z</dcterms:created>
  <dcterms:modified xsi:type="dcterms:W3CDTF">2023-06-19T23:46:24Z</dcterms:modified>
</cp:coreProperties>
</file>