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Files WADAS\AARS\Riziel\AAR\2022\NCR\Manila-City-Annual-Audit-Report-2022\"/>
    </mc:Choice>
  </mc:AlternateContent>
  <xr:revisionPtr revIDLastSave="0" documentId="13_ncr:1_{6C434798-8016-485F-8168-AC7505E506E4}" xr6:coauthVersionLast="47" xr6:coauthVersionMax="47" xr10:uidLastSave="{00000000-0000-0000-0000-000000000000}"/>
  <bookViews>
    <workbookView xWindow="-108" yWindow="-108" windowWidth="23256" windowHeight="12576" tabRatio="998" xr2:uid="{00000000-000D-0000-FFFF-FFFF00000000}"/>
  </bookViews>
  <sheets>
    <sheet name="Annex A - SFPo" sheetId="3" r:id="rId1"/>
    <sheet name="Annex B - SFPe" sheetId="4" r:id="rId2"/>
    <sheet name="Annex C - SCNAE" sheetId="5" r:id="rId3"/>
    <sheet name="Annex D - SCF" sheetId="6" r:id="rId4"/>
    <sheet name="SCBAA-GF" sheetId="7" r:id="rId5"/>
    <sheet name="SCBAA-SEF" sheetId="8" r:id="rId6"/>
    <sheet name="Sheet1" sheetId="9" state="hidden" r:id="rId7"/>
  </sheets>
  <externalReferences>
    <externalReference r:id="rId8"/>
  </externalReferences>
  <definedNames>
    <definedName name="_xlnm.Print_Area" localSheetId="0">'Annex A - SFPo'!$A$1:$G$138</definedName>
    <definedName name="_xlnm.Print_Area" localSheetId="1">'Annex B - SFPe'!$A$1:$E$145</definedName>
    <definedName name="_xlnm.Print_Area" localSheetId="2">'Annex C - SCNAE'!$A$1:$E$15</definedName>
    <definedName name="_xlnm.Print_Area" localSheetId="3">'Annex D - SCF'!$A$1:$F$40</definedName>
    <definedName name="_xlnm.Print_Area" localSheetId="4">'SCBAA-GF'!$A$1:$K$69</definedName>
    <definedName name="_xlnm.Print_Area" localSheetId="5">'SCBAA-SEF'!$A$1:$K$88</definedName>
    <definedName name="_xlnm.Print_Titles" localSheetId="0">'Annex A - SFPo'!$1:$7</definedName>
    <definedName name="_xlnm.Print_Titles" localSheetId="1">'Annex B - SFPe'!$1:$7</definedName>
    <definedName name="_xlnm.Print_Titles" localSheetId="3">'Annex D - SCF'!$1:$7</definedName>
    <definedName name="_xlnm.Print_Titles" localSheetId="4">'SCBAA-GF'!$1:$8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9" l="1"/>
  <c r="D31" i="9"/>
  <c r="B31" i="9"/>
  <c r="E31" i="9" s="1"/>
  <c r="I31" i="8"/>
  <c r="F119" i="3"/>
  <c r="E119" i="3"/>
  <c r="D119" i="3"/>
  <c r="G118" i="3"/>
  <c r="G119" i="3" s="1"/>
  <c r="F125" i="3"/>
  <c r="E125" i="3"/>
  <c r="D125" i="3"/>
  <c r="G124" i="3"/>
  <c r="G125" i="3" s="1"/>
  <c r="C32" i="9" l="1"/>
  <c r="B32" i="9"/>
  <c r="D32" i="9"/>
  <c r="J17" i="8"/>
  <c r="K43" i="8"/>
  <c r="K42" i="8"/>
  <c r="K16" i="8"/>
  <c r="I43" i="8"/>
  <c r="I42" i="8"/>
  <c r="I16" i="8"/>
  <c r="I13" i="8"/>
  <c r="I12" i="8"/>
  <c r="K13" i="8"/>
  <c r="K12" i="8"/>
  <c r="K64" i="7"/>
  <c r="K62" i="7"/>
  <c r="K60" i="7"/>
  <c r="K59" i="7"/>
  <c r="K57" i="7"/>
  <c r="K56" i="7"/>
  <c r="K54" i="7"/>
  <c r="K53" i="7"/>
  <c r="K50" i="7"/>
  <c r="K49" i="7"/>
  <c r="K48" i="7"/>
  <c r="K46" i="7"/>
  <c r="K45" i="7"/>
  <c r="K44" i="7"/>
  <c r="K42" i="7"/>
  <c r="K41" i="7"/>
  <c r="K40" i="7"/>
  <c r="I64" i="7"/>
  <c r="I62" i="7"/>
  <c r="I60" i="7"/>
  <c r="I59" i="7"/>
  <c r="I57" i="7"/>
  <c r="I56" i="7"/>
  <c r="I54" i="7"/>
  <c r="I53" i="7"/>
  <c r="I50" i="7"/>
  <c r="I49" i="7"/>
  <c r="I48" i="7"/>
  <c r="I46" i="7"/>
  <c r="I45" i="7"/>
  <c r="I44" i="7"/>
  <c r="I42" i="7"/>
  <c r="I41" i="7"/>
  <c r="I40" i="7"/>
  <c r="J65" i="7"/>
  <c r="H65" i="7"/>
  <c r="K33" i="7"/>
  <c r="K32" i="7"/>
  <c r="K31" i="7"/>
  <c r="K29" i="7"/>
  <c r="K28" i="7"/>
  <c r="K27" i="7"/>
  <c r="K25" i="7"/>
  <c r="K24" i="7"/>
  <c r="K22" i="7"/>
  <c r="I33" i="7"/>
  <c r="I32" i="7"/>
  <c r="I31" i="7"/>
  <c r="I30" i="7"/>
  <c r="I29" i="7"/>
  <c r="I28" i="7"/>
  <c r="I27" i="7"/>
  <c r="I25" i="7"/>
  <c r="I24" i="7"/>
  <c r="I22" i="7"/>
  <c r="K19" i="7"/>
  <c r="K18" i="7"/>
  <c r="K17" i="7"/>
  <c r="I19" i="7"/>
  <c r="I18" i="7"/>
  <c r="I17" i="7"/>
  <c r="J20" i="7"/>
  <c r="H20" i="7"/>
  <c r="G20" i="7"/>
  <c r="K14" i="7"/>
  <c r="K13" i="7"/>
  <c r="K12" i="7"/>
  <c r="I14" i="7"/>
  <c r="I13" i="7"/>
  <c r="I12" i="7"/>
  <c r="J15" i="7"/>
  <c r="G15" i="7"/>
  <c r="H15" i="7"/>
  <c r="H35" i="7" s="1"/>
  <c r="F33" i="6"/>
  <c r="F34" i="6" s="1"/>
  <c r="F35" i="6" s="1"/>
  <c r="E34" i="6"/>
  <c r="E35" i="6" s="1"/>
  <c r="D34" i="6"/>
  <c r="D35" i="6" s="1"/>
  <c r="C34" i="6"/>
  <c r="C35" i="6" s="1"/>
  <c r="F28" i="6"/>
  <c r="F29" i="6" s="1"/>
  <c r="E29" i="6"/>
  <c r="D29" i="6"/>
  <c r="C29" i="6"/>
  <c r="F25" i="6"/>
  <c r="F26" i="6" s="1"/>
  <c r="F30" i="6" s="1"/>
  <c r="E26" i="6"/>
  <c r="D26" i="6"/>
  <c r="C26" i="6"/>
  <c r="F20" i="6"/>
  <c r="F19" i="6"/>
  <c r="F18" i="6"/>
  <c r="F17" i="6"/>
  <c r="E21" i="6"/>
  <c r="D21" i="6"/>
  <c r="C21" i="6"/>
  <c r="F14" i="6"/>
  <c r="F13" i="6"/>
  <c r="F12" i="6"/>
  <c r="F11" i="6"/>
  <c r="F10" i="6"/>
  <c r="E15" i="6"/>
  <c r="D15" i="6"/>
  <c r="C15" i="6"/>
  <c r="D10" i="5"/>
  <c r="E142" i="4"/>
  <c r="E141" i="4"/>
  <c r="E140" i="4"/>
  <c r="E143" i="4" s="1"/>
  <c r="D143" i="4"/>
  <c r="C143" i="4"/>
  <c r="D135" i="4"/>
  <c r="C135" i="4"/>
  <c r="E134" i="4"/>
  <c r="E133" i="4"/>
  <c r="E132" i="4"/>
  <c r="E131" i="4"/>
  <c r="E130" i="4"/>
  <c r="E129" i="4"/>
  <c r="E135" i="4" s="1"/>
  <c r="E127" i="4"/>
  <c r="E128" i="4" s="1"/>
  <c r="D128" i="4"/>
  <c r="C128" i="4"/>
  <c r="D126" i="4"/>
  <c r="C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D79" i="4"/>
  <c r="C79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57" i="4"/>
  <c r="E52" i="4"/>
  <c r="E53" i="4" s="1"/>
  <c r="E50" i="4"/>
  <c r="E51" i="4" s="1"/>
  <c r="E48" i="4"/>
  <c r="E49" i="4" s="1"/>
  <c r="D53" i="4"/>
  <c r="C53" i="4"/>
  <c r="D51" i="4"/>
  <c r="C51" i="4"/>
  <c r="D49" i="4"/>
  <c r="C49" i="4"/>
  <c r="D47" i="4"/>
  <c r="C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D23" i="4"/>
  <c r="C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G133" i="3"/>
  <c r="G132" i="3"/>
  <c r="F135" i="3"/>
  <c r="G122" i="3"/>
  <c r="G121" i="3"/>
  <c r="G120" i="3"/>
  <c r="F123" i="3"/>
  <c r="F126" i="3" s="1"/>
  <c r="E123" i="3"/>
  <c r="E126" i="3" s="1"/>
  <c r="D123" i="3"/>
  <c r="D126" i="3" s="1"/>
  <c r="F114" i="3"/>
  <c r="E114" i="3"/>
  <c r="D114" i="3"/>
  <c r="G113" i="3"/>
  <c r="G112" i="3"/>
  <c r="G111" i="3"/>
  <c r="G110" i="3"/>
  <c r="F109" i="3"/>
  <c r="E109" i="3"/>
  <c r="D109" i="3"/>
  <c r="G108" i="3"/>
  <c r="G107" i="3"/>
  <c r="G106" i="3"/>
  <c r="G105" i="3"/>
  <c r="G104" i="3"/>
  <c r="G103" i="3"/>
  <c r="G102" i="3"/>
  <c r="F101" i="3"/>
  <c r="E101" i="3"/>
  <c r="D101" i="3"/>
  <c r="G100" i="3"/>
  <c r="G99" i="3"/>
  <c r="G98" i="3"/>
  <c r="G97" i="3"/>
  <c r="G96" i="3"/>
  <c r="G88" i="3"/>
  <c r="G89" i="3" s="1"/>
  <c r="F89" i="3"/>
  <c r="E89" i="3"/>
  <c r="D89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F87" i="3"/>
  <c r="E87" i="3"/>
  <c r="D87" i="3"/>
  <c r="G59" i="3"/>
  <c r="F59" i="3"/>
  <c r="E59" i="3"/>
  <c r="D59" i="3"/>
  <c r="G53" i="3"/>
  <c r="G52" i="3"/>
  <c r="G51" i="3"/>
  <c r="G50" i="3"/>
  <c r="F54" i="3"/>
  <c r="E54" i="3"/>
  <c r="D54" i="3"/>
  <c r="G48" i="3"/>
  <c r="G47" i="3"/>
  <c r="G46" i="3"/>
  <c r="G45" i="3"/>
  <c r="G44" i="3"/>
  <c r="G43" i="3"/>
  <c r="G42" i="3"/>
  <c r="G41" i="3"/>
  <c r="G40" i="3"/>
  <c r="G39" i="3"/>
  <c r="G38" i="3"/>
  <c r="G37" i="3"/>
  <c r="F49" i="3"/>
  <c r="E49" i="3"/>
  <c r="D49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F36" i="3"/>
  <c r="E36" i="3"/>
  <c r="D36" i="3"/>
  <c r="G19" i="3"/>
  <c r="G18" i="3"/>
  <c r="G17" i="3"/>
  <c r="F20" i="3"/>
  <c r="E20" i="3"/>
  <c r="D20" i="3"/>
  <c r="F16" i="3"/>
  <c r="E16" i="3"/>
  <c r="D16" i="3"/>
  <c r="G14" i="3"/>
  <c r="G13" i="3"/>
  <c r="G12" i="3"/>
  <c r="G11" i="3"/>
  <c r="F21" i="6" l="1"/>
  <c r="C22" i="6"/>
  <c r="D22" i="6"/>
  <c r="E22" i="6"/>
  <c r="G35" i="7"/>
  <c r="E30" i="6"/>
  <c r="E37" i="6" s="1"/>
  <c r="E39" i="6" s="1"/>
  <c r="F115" i="3"/>
  <c r="J35" i="7"/>
  <c r="D30" i="6"/>
  <c r="C30" i="6"/>
  <c r="C37" i="6" s="1"/>
  <c r="C39" i="6" s="1"/>
  <c r="E115" i="3"/>
  <c r="E128" i="3" s="1"/>
  <c r="E79" i="4"/>
  <c r="E126" i="4"/>
  <c r="E23" i="4"/>
  <c r="E47" i="4"/>
  <c r="C136" i="4"/>
  <c r="D115" i="3"/>
  <c r="D136" i="4"/>
  <c r="I15" i="7"/>
  <c r="E55" i="3"/>
  <c r="G101" i="3"/>
  <c r="G114" i="3"/>
  <c r="F90" i="3"/>
  <c r="F55" i="3"/>
  <c r="D90" i="3"/>
  <c r="G109" i="3"/>
  <c r="G123" i="3"/>
  <c r="G126" i="3" s="1"/>
  <c r="G16" i="3"/>
  <c r="D55" i="3"/>
  <c r="E90" i="3"/>
  <c r="F128" i="3"/>
  <c r="F137" i="3" s="1"/>
  <c r="D37" i="6"/>
  <c r="D39" i="6" s="1"/>
  <c r="G87" i="3"/>
  <c r="G90" i="3" s="1"/>
  <c r="K15" i="7"/>
  <c r="K20" i="7"/>
  <c r="F15" i="6"/>
  <c r="F22" i="6" s="1"/>
  <c r="F37" i="6" s="1"/>
  <c r="F39" i="6" s="1"/>
  <c r="I20" i="7"/>
  <c r="K65" i="7"/>
  <c r="K67" i="7" s="1"/>
  <c r="I65" i="7"/>
  <c r="I67" i="7" s="1"/>
  <c r="G54" i="3"/>
  <c r="G49" i="3"/>
  <c r="G36" i="3"/>
  <c r="G20" i="3"/>
  <c r="I76" i="7"/>
  <c r="H76" i="7"/>
  <c r="J67" i="7"/>
  <c r="H67" i="7"/>
  <c r="H68" i="7" s="1"/>
  <c r="H70" i="7" s="1"/>
  <c r="H72" i="7" s="1"/>
  <c r="G65" i="7"/>
  <c r="G67" i="7" s="1"/>
  <c r="G68" i="7" s="1"/>
  <c r="G70" i="7" s="1"/>
  <c r="G72" i="7" s="1"/>
  <c r="K84" i="8"/>
  <c r="K87" i="8" s="1"/>
  <c r="J84" i="8"/>
  <c r="J87" i="8" s="1"/>
  <c r="I84" i="8"/>
  <c r="I87" i="8" s="1"/>
  <c r="H84" i="8"/>
  <c r="H87" i="8" s="1"/>
  <c r="G84" i="8"/>
  <c r="G87" i="8" s="1"/>
  <c r="K17" i="8"/>
  <c r="I17" i="8"/>
  <c r="H17" i="8"/>
  <c r="G17" i="8"/>
  <c r="K14" i="8"/>
  <c r="J14" i="8"/>
  <c r="I14" i="8"/>
  <c r="H14" i="8"/>
  <c r="G14" i="8"/>
  <c r="I33" i="8" l="1"/>
  <c r="E136" i="4"/>
  <c r="J68" i="7"/>
  <c r="J70" i="7" s="1"/>
  <c r="J72" i="7" s="1"/>
  <c r="E92" i="3"/>
  <c r="H33" i="8"/>
  <c r="H88" i="8" s="1"/>
  <c r="I35" i="7"/>
  <c r="I68" i="7" s="1"/>
  <c r="I70" i="7" s="1"/>
  <c r="I72" i="7" s="1"/>
  <c r="G33" i="8"/>
  <c r="G88" i="8" s="1"/>
  <c r="J33" i="8"/>
  <c r="J88" i="8" s="1"/>
  <c r="K33" i="8"/>
  <c r="K88" i="8" s="1"/>
  <c r="D92" i="3"/>
  <c r="G115" i="3"/>
  <c r="G128" i="3" s="1"/>
  <c r="D128" i="3"/>
  <c r="F92" i="3"/>
  <c r="G55" i="3"/>
  <c r="G92" i="3" s="1"/>
  <c r="K35" i="7"/>
  <c r="K68" i="7" s="1"/>
  <c r="K70" i="7" s="1"/>
  <c r="K72" i="7" s="1"/>
  <c r="I88" i="8"/>
  <c r="E9" i="5"/>
  <c r="E12" i="5"/>
  <c r="E8" i="5"/>
  <c r="C10" i="5"/>
  <c r="D54" i="4"/>
  <c r="D144" i="4" s="1"/>
  <c r="C54" i="4"/>
  <c r="E10" i="5" l="1"/>
  <c r="E134" i="3"/>
  <c r="E135" i="3" s="1"/>
  <c r="D13" i="5"/>
  <c r="E54" i="4"/>
  <c r="E144" i="4" s="1"/>
  <c r="D14" i="5"/>
  <c r="C144" i="4"/>
  <c r="C13" i="5" s="1"/>
  <c r="E13" i="5" s="1"/>
  <c r="E137" i="3" l="1"/>
  <c r="C14" i="5"/>
  <c r="E14" i="5" s="1"/>
  <c r="D134" i="3"/>
  <c r="G134" i="3" s="1"/>
  <c r="G135" i="3" s="1"/>
  <c r="G137" i="3" s="1"/>
  <c r="D135" i="3" l="1"/>
  <c r="D137" i="3" s="1"/>
</calcChain>
</file>

<file path=xl/sharedStrings.xml><?xml version="1.0" encoding="utf-8"?>
<sst xmlns="http://schemas.openxmlformats.org/spreadsheetml/2006/main" count="532" uniqueCount="383">
  <si>
    <t>General Fund</t>
  </si>
  <si>
    <t>Special Education Fund</t>
  </si>
  <si>
    <t>Trust Fund</t>
  </si>
  <si>
    <t>Total</t>
  </si>
  <si>
    <t>Cash Flows from Operating Activities</t>
  </si>
  <si>
    <t>Cash Inflows</t>
  </si>
  <si>
    <t>Collection from taxpayers</t>
  </si>
  <si>
    <t>Share from Internal Revenue Allotment</t>
  </si>
  <si>
    <t>Receipts from business/service income</t>
  </si>
  <si>
    <t>Interest Income</t>
  </si>
  <si>
    <t>Other Receipts</t>
  </si>
  <si>
    <t>Total Cash Inflows</t>
  </si>
  <si>
    <t>Cash Outflows</t>
  </si>
  <si>
    <t>Payments to suppliers and creditors</t>
  </si>
  <si>
    <t>Payments to employees</t>
  </si>
  <si>
    <t>Interest Expense</t>
  </si>
  <si>
    <t>Other Expenses</t>
  </si>
  <si>
    <t>Total Cash Outflows</t>
  </si>
  <si>
    <t>Net Cash Flows from Operating Activities</t>
  </si>
  <si>
    <t>Cash Flows from Investing Activities</t>
  </si>
  <si>
    <t>Net Cash Flows from  Investing Activities</t>
  </si>
  <si>
    <t>Cash Flows from Financing Activities</t>
  </si>
  <si>
    <t>Net Cash Flows from Financing Activities</t>
  </si>
  <si>
    <t xml:space="preserve">Total Cash Provided by Operating, Investing
</t>
  </si>
  <si>
    <t>and Financing Activities</t>
  </si>
  <si>
    <t>CITY OF MANILA</t>
  </si>
  <si>
    <t>Adjustment of net revenue recognized directly in net assets/equity</t>
  </si>
  <si>
    <t>Surplus (Deficit) for the period</t>
  </si>
  <si>
    <t>Tax Revenue</t>
  </si>
  <si>
    <t>Miscellaneous Income</t>
  </si>
  <si>
    <t>Less:</t>
  </si>
  <si>
    <t>Maintenance and Other Operating Expenses</t>
  </si>
  <si>
    <t>Current Operating Expenses</t>
  </si>
  <si>
    <t>Surplus</t>
  </si>
  <si>
    <t>Add (Deduct):</t>
  </si>
  <si>
    <t>Current Assets</t>
  </si>
  <si>
    <t>Total Current Assets</t>
  </si>
  <si>
    <t>Total Assets</t>
  </si>
  <si>
    <t>LIABILITIES</t>
  </si>
  <si>
    <t>Current Liabilities</t>
  </si>
  <si>
    <t>Total Current Liabilities</t>
  </si>
  <si>
    <t>Trust Liabilities</t>
  </si>
  <si>
    <t>Other Payables</t>
  </si>
  <si>
    <t>Total Liabilities</t>
  </si>
  <si>
    <t>NET ASSETS/EQUITY</t>
  </si>
  <si>
    <t>Cash Balance as at December 31</t>
  </si>
  <si>
    <t>Add: Cash at the Beginning of the Year</t>
  </si>
  <si>
    <t>Surplus(Deficit) for the Period</t>
  </si>
  <si>
    <t>Annex A</t>
  </si>
  <si>
    <t>Annex B</t>
  </si>
  <si>
    <t>Annex C</t>
  </si>
  <si>
    <t>Annex D</t>
  </si>
  <si>
    <t>STATEMENT OF FINANCIAL POSITION (BY FUND)</t>
  </si>
  <si>
    <t>STATEMENT OF FINANCIAL PERFORMANCE (BY FUND)</t>
  </si>
  <si>
    <t xml:space="preserve"> STATEMENT OF CHANGES IN NET ASSETS/EQUITY (BY FUND)</t>
  </si>
  <si>
    <t>STATEMENT OF CASH FLOWS (BY FUND)</t>
  </si>
  <si>
    <t>Balance at January 1</t>
  </si>
  <si>
    <t>Balance at December 31</t>
  </si>
  <si>
    <t>Proceeds from Loans</t>
  </si>
  <si>
    <t xml:space="preserve"> </t>
  </si>
  <si>
    <t>Purchase/Construction of Property, Plant 
  and Equipment</t>
  </si>
  <si>
    <t>Add (Deduct) Changes in net assets/equity:</t>
  </si>
  <si>
    <t>Add (Deduct):
 Prior Period Errors</t>
  </si>
  <si>
    <t>Restated Balance</t>
  </si>
  <si>
    <t>Annex E-1</t>
  </si>
  <si>
    <t>STATEMENT OF COMPARISON OF BUDGET AND ACTUAL AMOUNTS - GENERAL FUND</t>
  </si>
  <si>
    <t>For the Year Ended December 31, 2022</t>
  </si>
  <si>
    <t>Particulars</t>
  </si>
  <si>
    <t>Budgeted Amounts</t>
  </si>
  <si>
    <t>Difference Original and Final Budget</t>
  </si>
  <si>
    <t>Actual Amounts</t>
  </si>
  <si>
    <t xml:space="preserve">Difference Final Budget and Actual </t>
  </si>
  <si>
    <t>Original</t>
  </si>
  <si>
    <t>Final</t>
  </si>
  <si>
    <t>Revenue</t>
  </si>
  <si>
    <t>A.</t>
  </si>
  <si>
    <t>Local Sources</t>
  </si>
  <si>
    <t>1.</t>
  </si>
  <si>
    <t>a.</t>
  </si>
  <si>
    <t>Tax Revenue - Property</t>
  </si>
  <si>
    <t>b.</t>
  </si>
  <si>
    <t>Tax Revenue - Goods and Services</t>
  </si>
  <si>
    <t>c.</t>
  </si>
  <si>
    <t>Other Local Taxes</t>
  </si>
  <si>
    <t>Total Tax Revenue</t>
  </si>
  <si>
    <t>2.</t>
  </si>
  <si>
    <t>Non-Tax Revenue</t>
  </si>
  <si>
    <t>Service Income</t>
  </si>
  <si>
    <t>Business Income</t>
  </si>
  <si>
    <t>Other Income and Receipts</t>
  </si>
  <si>
    <t>Total Non-Tax Revenue</t>
  </si>
  <si>
    <t>B.</t>
  </si>
  <si>
    <t>External Sources</t>
  </si>
  <si>
    <t>Share from the National Internal Revenue Taxes (IRA)</t>
  </si>
  <si>
    <t>Grants and Donations</t>
  </si>
  <si>
    <t>Other Subsidy Income</t>
  </si>
  <si>
    <t>3.</t>
  </si>
  <si>
    <t>Capital /Investment Receipts</t>
  </si>
  <si>
    <t>Sale of Capital Assets</t>
  </si>
  <si>
    <t>Sale of Investments</t>
  </si>
  <si>
    <t>Proceeds from Collections of Loan Receivables</t>
  </si>
  <si>
    <t>C.</t>
  </si>
  <si>
    <t>Receipts from Borrowings</t>
  </si>
  <si>
    <t>Development Bank of the Philippines</t>
  </si>
  <si>
    <t>Land Bank of the Philippines</t>
  </si>
  <si>
    <t>D.</t>
  </si>
  <si>
    <t>Reversion of Appropriations</t>
  </si>
  <si>
    <t>Total Revenues and Receipts</t>
  </si>
  <si>
    <t xml:space="preserve">Expenditures </t>
  </si>
  <si>
    <t>Current Appropriations</t>
  </si>
  <si>
    <t>General Public Services</t>
  </si>
  <si>
    <t>Personal Services</t>
  </si>
  <si>
    <t>Capital Outlay</t>
  </si>
  <si>
    <t>Social Services and Social Welfare</t>
  </si>
  <si>
    <t>Economic Services</t>
  </si>
  <si>
    <t>Other Purposes:</t>
  </si>
  <si>
    <t>Debt Service</t>
  </si>
  <si>
    <t>Financial Expense</t>
  </si>
  <si>
    <t>Amortization</t>
  </si>
  <si>
    <t>LDRRMF</t>
  </si>
  <si>
    <t>20% Development Fund</t>
  </si>
  <si>
    <t>Allocation for Senior Citizens and PWD</t>
  </si>
  <si>
    <t>Others</t>
  </si>
  <si>
    <t>Total Current Appropriations</t>
  </si>
  <si>
    <t>Total Appropriations</t>
  </si>
  <si>
    <t>Annex E-2</t>
  </si>
  <si>
    <t>STATEMENT OF COMPARISON OF BUDGET AND ACTUAL AMOUNTS - SPECIAL EDUCATION FUND</t>
  </si>
  <si>
    <t>Other Shares from National Tax Collections</t>
  </si>
  <si>
    <t>Share from Ecozone</t>
  </si>
  <si>
    <t>Share from EVAT</t>
  </si>
  <si>
    <t>Share from National Wealth</t>
  </si>
  <si>
    <t>d.</t>
  </si>
  <si>
    <t>Share from Tobacco Excise Tax</t>
  </si>
  <si>
    <t>4.</t>
  </si>
  <si>
    <t>5.</t>
  </si>
  <si>
    <t>Inter-local Transfer</t>
  </si>
  <si>
    <t>6.</t>
  </si>
  <si>
    <t>Health, Nutrition and Population Control</t>
  </si>
  <si>
    <t>Labor and Employment</t>
  </si>
  <si>
    <t>Housing and Community Development</t>
  </si>
  <si>
    <t>ASSET</t>
  </si>
  <si>
    <t>Cash Local Treasury</t>
  </si>
  <si>
    <t>Petty Cash</t>
  </si>
  <si>
    <t>Cash in Bank - Local Currency, Current Account</t>
  </si>
  <si>
    <t>Cash in Bank -Local Currency, Time Deposits</t>
  </si>
  <si>
    <t>Cash in Bank - Foreign Currency, Savings Account</t>
  </si>
  <si>
    <t>Total Cash</t>
  </si>
  <si>
    <t>Financial Assets Held for Trading</t>
  </si>
  <si>
    <t>Guaranty Deposits</t>
  </si>
  <si>
    <t>Investments in Joint Venture</t>
  </si>
  <si>
    <t>Total Investment</t>
  </si>
  <si>
    <t>Accounts Receivable</t>
  </si>
  <si>
    <t>Real Property Tax Receivable</t>
  </si>
  <si>
    <t>Special Education Tax Receivable</t>
  </si>
  <si>
    <t>Loans Receivable - Others</t>
  </si>
  <si>
    <t>Operating Lease  Receivable</t>
  </si>
  <si>
    <t>Due from National Government Agencies</t>
  </si>
  <si>
    <t>Due from Government-Owned and/or Controlled Corporations</t>
  </si>
  <si>
    <t>Due from Local Government Units</t>
  </si>
  <si>
    <t>Due from Joint Venture</t>
  </si>
  <si>
    <t>Advances for Payroll</t>
  </si>
  <si>
    <t>Advances to Special Disbursing Officer</t>
  </si>
  <si>
    <t>Advances for Officers and Employees</t>
  </si>
  <si>
    <t>Receivables - Disallowances/Charges</t>
  </si>
  <si>
    <t>Due from Officers and Employees</t>
  </si>
  <si>
    <t>Other Receivables</t>
  </si>
  <si>
    <t>Total Receivables</t>
  </si>
  <si>
    <t>Merchandise Inventory</t>
  </si>
  <si>
    <t>Office Supplies Inventory</t>
  </si>
  <si>
    <t xml:space="preserve">Accountable Forms, Plates and Stickers </t>
  </si>
  <si>
    <t>Non-Accountable Forms Inventory</t>
  </si>
  <si>
    <t>Animal/Zoological Supplies Inventory</t>
  </si>
  <si>
    <t>Food Supplies Inventory</t>
  </si>
  <si>
    <t>Drugs and Medicines Inventory</t>
  </si>
  <si>
    <t>Medical, Dental and Laboratory Supplies Inventory</t>
  </si>
  <si>
    <t>Fuel, Oil and Lubricants Inventory</t>
  </si>
  <si>
    <t>Textbooks and Instructional Materials Inventory</t>
  </si>
  <si>
    <t>Construction Materials Inventory</t>
  </si>
  <si>
    <t>Other Supplies and Materials Inventory</t>
  </si>
  <si>
    <t>Total Inventories</t>
  </si>
  <si>
    <t>Advances to Contractors</t>
  </si>
  <si>
    <t>Prepaid Insurance</t>
  </si>
  <si>
    <t>Other Prepayments</t>
  </si>
  <si>
    <t>Discount on Advance Payments</t>
  </si>
  <si>
    <t>Total Prepayments and Deffered charges</t>
  </si>
  <si>
    <t>Non Current Assets</t>
  </si>
  <si>
    <t>Investment Property,  Land</t>
  </si>
  <si>
    <t>Total Investment Property</t>
  </si>
  <si>
    <t>Land</t>
  </si>
  <si>
    <t>Other Land Improvements</t>
  </si>
  <si>
    <t>Road Networks</t>
  </si>
  <si>
    <t>Parks, Plazas and Monuments</t>
  </si>
  <si>
    <t>Other Infrastructure Assets</t>
  </si>
  <si>
    <t>Buildings</t>
  </si>
  <si>
    <t xml:space="preserve">School Buildings </t>
  </si>
  <si>
    <t>Hospitals and Health Centers</t>
  </si>
  <si>
    <t>Markets</t>
  </si>
  <si>
    <t>Slaughterhouses</t>
  </si>
  <si>
    <t>Other Structures</t>
  </si>
  <si>
    <t xml:space="preserve"> Machinery</t>
  </si>
  <si>
    <t>Office Equipment</t>
  </si>
  <si>
    <t xml:space="preserve">Information and Communication Technology  Equipment </t>
  </si>
  <si>
    <t>Communication Equipment</t>
  </si>
  <si>
    <t>Construction and Heavy Equipment</t>
  </si>
  <si>
    <t>Disaster Response and Rescue Equipment</t>
  </si>
  <si>
    <t>Medical Equipment</t>
  </si>
  <si>
    <t xml:space="preserve">Technical and Scientific  Equipment </t>
  </si>
  <si>
    <t xml:space="preserve">Other Machinery and Equipment </t>
  </si>
  <si>
    <t>Motor Vehicles</t>
  </si>
  <si>
    <t xml:space="preserve">Furniture and Fixtures </t>
  </si>
  <si>
    <t xml:space="preserve">Books </t>
  </si>
  <si>
    <t xml:space="preserve">Construction in Progress - Infrastructure Assets </t>
  </si>
  <si>
    <t>Construction in Progress - Buildings and Other Structures</t>
  </si>
  <si>
    <t>Other Property, Plant and Equipment</t>
  </si>
  <si>
    <t>Work/Zoo Animals</t>
  </si>
  <si>
    <t>Total Property, Plant and Equipment</t>
  </si>
  <si>
    <t>Computer Software</t>
  </si>
  <si>
    <t>Total Intangible Assets</t>
  </si>
  <si>
    <t>Total Non Current Assets</t>
  </si>
  <si>
    <t>Accounts Payable</t>
  </si>
  <si>
    <t>Due to Officers and Employees</t>
  </si>
  <si>
    <t>Interest Payable</t>
  </si>
  <si>
    <t>Operating Lease Payable</t>
  </si>
  <si>
    <t>Loans Payable - Domestic</t>
  </si>
  <si>
    <t>Total Financial Liabilities</t>
  </si>
  <si>
    <t>Due to BIR</t>
  </si>
  <si>
    <t>Due to GSIS</t>
  </si>
  <si>
    <t>Due to Pag-IBIG</t>
  </si>
  <si>
    <t>Due to PhilHealth</t>
  </si>
  <si>
    <t>Due to NGAs</t>
  </si>
  <si>
    <t>Due to GOCCs</t>
  </si>
  <si>
    <t>Due to LGUs</t>
  </si>
  <si>
    <t>Total Inter-Agency Payables</t>
  </si>
  <si>
    <t>Non Current Liabilities</t>
  </si>
  <si>
    <t>Trust Liabilities - Disaster Risk Reduction and Management Fund</t>
  </si>
  <si>
    <t>Bail Bonds Payable</t>
  </si>
  <si>
    <t xml:space="preserve">Guaranty/Security Deposits Payable </t>
  </si>
  <si>
    <t>Total Trust Liabiliites</t>
  </si>
  <si>
    <t>Deferred Real Property Tax</t>
  </si>
  <si>
    <t>Deferred Special Education Tax</t>
  </si>
  <si>
    <t xml:space="preserve">Other Deferred Credits </t>
  </si>
  <si>
    <t>Loans Payable - Domestic (Non-Current)</t>
  </si>
  <si>
    <t>Total Provisions</t>
  </si>
  <si>
    <t>Total Other Payables</t>
  </si>
  <si>
    <t>Total Non Current Liabilities</t>
  </si>
  <si>
    <t xml:space="preserve">Government Equity  </t>
  </si>
  <si>
    <t>Prior Period Adjustment</t>
  </si>
  <si>
    <t xml:space="preserve">Income and Expense Summary </t>
  </si>
  <si>
    <t>As at December 31, 2022</t>
  </si>
  <si>
    <t>Total Liabilities and Net Assets/Equity</t>
  </si>
  <si>
    <t>Total Net Assets/Equity</t>
  </si>
  <si>
    <t xml:space="preserve">Professional Tax </t>
  </si>
  <si>
    <t xml:space="preserve">Community Tax </t>
  </si>
  <si>
    <t>Real Property Tax- Basic</t>
  </si>
  <si>
    <t>Discount on Real Property Tax- Basic</t>
  </si>
  <si>
    <t>Special Education Tax</t>
  </si>
  <si>
    <t>Discount on Special Education Tax</t>
  </si>
  <si>
    <t>Real Property Transfer Tax</t>
  </si>
  <si>
    <t xml:space="preserve">Business Tax  </t>
  </si>
  <si>
    <t xml:space="preserve">Amusement Tax </t>
  </si>
  <si>
    <t xml:space="preserve">Franchise Tax  </t>
  </si>
  <si>
    <t xml:space="preserve">Printing and Publication Tax </t>
  </si>
  <si>
    <t>Other Taxes</t>
  </si>
  <si>
    <t>Tax Revenue - Fines and Penalties - Other Taxes</t>
  </si>
  <si>
    <t>Share from Internal Revenue Collections (IRA)</t>
  </si>
  <si>
    <t>Permit Fees</t>
  </si>
  <si>
    <t>Registration Fees</t>
  </si>
  <si>
    <t>Registration Plates, Tags and Stickers Fees</t>
  </si>
  <si>
    <t>Clearance and Certification Fees</t>
  </si>
  <si>
    <t>Inspection Fees</t>
  </si>
  <si>
    <t>Processing Fees</t>
  </si>
  <si>
    <t>Occupation Fees</t>
  </si>
  <si>
    <t>Fees for Sealing  and Licensing of Weights and Measures</t>
  </si>
  <si>
    <t xml:space="preserve">Fines and Penalties - Service Income </t>
  </si>
  <si>
    <t>Other Service Income</t>
  </si>
  <si>
    <t>School Fees</t>
  </si>
  <si>
    <t>Affiliation Fees</t>
  </si>
  <si>
    <t xml:space="preserve">Rent Income </t>
  </si>
  <si>
    <t xml:space="preserve">Road Network  Fees </t>
  </si>
  <si>
    <t xml:space="preserve">Parking Fees </t>
  </si>
  <si>
    <t>Receipts from Market Operations</t>
  </si>
  <si>
    <t xml:space="preserve">Receipts from Slaughterhouse Operation </t>
  </si>
  <si>
    <t>Receipts from Cemetery Operations</t>
  </si>
  <si>
    <t xml:space="preserve">Receipts from Printing and Publication </t>
  </si>
  <si>
    <t>Garbage Fees</t>
  </si>
  <si>
    <t>Hospital Fees</t>
  </si>
  <si>
    <t xml:space="preserve">Interest Income </t>
  </si>
  <si>
    <t>Other Business Income</t>
  </si>
  <si>
    <t>Total Service and Business Income</t>
  </si>
  <si>
    <t>Total Transfers, Assistance and Subsidy</t>
  </si>
  <si>
    <t xml:space="preserve">Grants and Donations in Kind </t>
  </si>
  <si>
    <t>Total Shares, Grants and Donation</t>
  </si>
  <si>
    <t>Gain on Sale of Property, Plant and Equipment</t>
  </si>
  <si>
    <t>Total Gains</t>
  </si>
  <si>
    <t>Total Miscellaneous Income</t>
  </si>
  <si>
    <t>Salaries and Wages - Regular</t>
  </si>
  <si>
    <t>Salaries and Wages - Casual/Contractual</t>
  </si>
  <si>
    <t>Personal Economic Relief Allowance (PERA)</t>
  </si>
  <si>
    <t>Representation Allowance (RA)</t>
  </si>
  <si>
    <t>Transportation Allowance (TA)</t>
  </si>
  <si>
    <t>Clothing/Uniform Allowance</t>
  </si>
  <si>
    <t>Subsistence Allowance</t>
  </si>
  <si>
    <t>Laundry  Allowance</t>
  </si>
  <si>
    <t>Productivity Incentive Allowance</t>
  </si>
  <si>
    <t>Honoraria</t>
  </si>
  <si>
    <t>Hazard Pay</t>
  </si>
  <si>
    <t>Longevity Pay</t>
  </si>
  <si>
    <t>Overtime and Night Pay</t>
  </si>
  <si>
    <t>Year End Bonus</t>
  </si>
  <si>
    <t>Cash Gift</t>
  </si>
  <si>
    <t>Other Bonuses and Allowances</t>
  </si>
  <si>
    <t>Retirement and Life Insurance Premiums</t>
  </si>
  <si>
    <t>Pag-IBIG Contributions</t>
  </si>
  <si>
    <t>PhilHealth Contributions</t>
  </si>
  <si>
    <t>Employees Compensation Insurance Premiums</t>
  </si>
  <si>
    <t>Terminal Leave Benefits</t>
  </si>
  <si>
    <t>Other Personnel Benefits</t>
  </si>
  <si>
    <t>Total Personnel Services</t>
  </si>
  <si>
    <t>Traveling Expenses - Local</t>
  </si>
  <si>
    <t>Traveling Expenses - Foreign</t>
  </si>
  <si>
    <t>Training Expenses</t>
  </si>
  <si>
    <t xml:space="preserve">Office Supplies Expenses </t>
  </si>
  <si>
    <t>Accountable Forms Expenses</t>
  </si>
  <si>
    <t>Non-Accountable Forms Expenses</t>
  </si>
  <si>
    <t>Animal/Zoological Supplies Expenses</t>
  </si>
  <si>
    <t>Food Supplies Expenses</t>
  </si>
  <si>
    <t>Welfare Goods Expenses</t>
  </si>
  <si>
    <t>Drugs and Medicines Expenses</t>
  </si>
  <si>
    <t>Medical, Dental and Laboratory Supplies Expenses</t>
  </si>
  <si>
    <t>Fuel, Oil and Lubricants Expenses</t>
  </si>
  <si>
    <t>Textbooks and Instructional Materials Expenses</t>
  </si>
  <si>
    <t>Other Supplies and Materials Expenses</t>
  </si>
  <si>
    <t>Water Expenses</t>
  </si>
  <si>
    <t>Electricity Expenses</t>
  </si>
  <si>
    <t xml:space="preserve">Postage and Courier Services </t>
  </si>
  <si>
    <t>Telephone Expenses</t>
  </si>
  <si>
    <t>Internet Subscription Expenses</t>
  </si>
  <si>
    <t>Awards/Rewards Expenses</t>
  </si>
  <si>
    <t>Prizes</t>
  </si>
  <si>
    <t>Research, Exploration and Development Expenses</t>
  </si>
  <si>
    <t>Confidential Expenses</t>
  </si>
  <si>
    <t>Extraordinary and Miscellaneous Expenses</t>
  </si>
  <si>
    <t>Auditing Services</t>
  </si>
  <si>
    <t>Consultancy Services</t>
  </si>
  <si>
    <t>Other Professional Services</t>
  </si>
  <si>
    <t>Environment/Sanitary Services</t>
  </si>
  <si>
    <t>Janitorial Services</t>
  </si>
  <si>
    <t>Security Services</t>
  </si>
  <si>
    <t>Other General Services</t>
  </si>
  <si>
    <t>Repairs and Maintenance - Infrastructure Assets</t>
  </si>
  <si>
    <t>Repairs and Maintenance - Buildings and Other Structures</t>
  </si>
  <si>
    <t xml:space="preserve">Repairs and Maintenance - Machinery and Equipment </t>
  </si>
  <si>
    <t xml:space="preserve">Repairs and Maintenance - Transportation Equipment  </t>
  </si>
  <si>
    <t>Taxes, Duties and Licenses</t>
  </si>
  <si>
    <t xml:space="preserve">Fidelity Bond Premiums </t>
  </si>
  <si>
    <t>Insurance Expenses</t>
  </si>
  <si>
    <t>Advertising Expenses</t>
  </si>
  <si>
    <t>Printing and Publication Expenses</t>
  </si>
  <si>
    <t>Representation Expenses</t>
  </si>
  <si>
    <t>Rent Expenses</t>
  </si>
  <si>
    <t>Membership Dues and Contributions to Organizations</t>
  </si>
  <si>
    <t>Subscription Expenses</t>
  </si>
  <si>
    <t>Donations</t>
  </si>
  <si>
    <t xml:space="preserve">Other Maintenance and Operating Expenses  </t>
  </si>
  <si>
    <t>Total Maintenance and Operating Expenses</t>
  </si>
  <si>
    <t xml:space="preserve">Interest Expenses </t>
  </si>
  <si>
    <t>Total Financial Expenses</t>
  </si>
  <si>
    <t>Depreciation - Land Improvements</t>
  </si>
  <si>
    <t>Depreciation - Buildings and Other Structures</t>
  </si>
  <si>
    <t xml:space="preserve">Depreciation - Machinery  and Equipment </t>
  </si>
  <si>
    <t>Depreciation - Transportation Equipment</t>
  </si>
  <si>
    <t xml:space="preserve">Depreciation - Furniture, Fixtures and Books  </t>
  </si>
  <si>
    <t>Depreciation - Other Property, Plant and Equipment</t>
  </si>
  <si>
    <t>Total Non Cash Expenses</t>
  </si>
  <si>
    <t>Total Deferred Credits</t>
  </si>
  <si>
    <t>Financial Assistance/Subsidy To</t>
  </si>
  <si>
    <t>Assistance and Subsidy From</t>
  </si>
  <si>
    <t>Transfer To</t>
  </si>
  <si>
    <t>Proceeds from Sale/Disposal of Property, Plant and Equipment</t>
  </si>
  <si>
    <t>F</t>
  </si>
  <si>
    <t>P</t>
  </si>
  <si>
    <t>N</t>
  </si>
  <si>
    <t>(All amounts in Philippine Peso)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</si>
</sst>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0_);_(* \(#,##0.00\);_(* &quot;-&quot;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  <font>
      <b/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indexed="8"/>
      <name val="Draft 20cpi"/>
      <family val="3"/>
    </font>
    <font>
      <sz val="11"/>
      <color indexed="8"/>
      <name val="Calibri"/>
      <family val="2"/>
    </font>
    <font>
      <sz val="10"/>
      <color indexed="8"/>
      <name val="Draft 12cpi"/>
    </font>
    <font>
      <sz val="10"/>
      <color indexed="8"/>
      <name val="Draft 20cpi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i/>
      <sz val="11"/>
      <color indexed="8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70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13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14" fillId="0" borderId="0" xfId="68" applyFont="1"/>
    <xf numFmtId="165" fontId="14" fillId="0" borderId="0" xfId="68" applyNumberFormat="1" applyFont="1"/>
    <xf numFmtId="165" fontId="16" fillId="0" borderId="0" xfId="68" applyNumberFormat="1" applyFont="1"/>
    <xf numFmtId="165" fontId="17" fillId="0" borderId="0" xfId="68" applyNumberFormat="1" applyFont="1"/>
    <xf numFmtId="165" fontId="18" fillId="0" borderId="0" xfId="68" applyNumberFormat="1" applyFont="1"/>
    <xf numFmtId="165" fontId="17" fillId="0" borderId="0" xfId="68" applyNumberFormat="1" applyFont="1" applyAlignment="1">
      <alignment horizontal="center" vertical="center" wrapText="1"/>
    </xf>
    <xf numFmtId="165" fontId="18" fillId="0" borderId="0" xfId="68" applyNumberFormat="1" applyFont="1" applyAlignment="1">
      <alignment horizontal="center" vertical="center" wrapText="1"/>
    </xf>
    <xf numFmtId="165" fontId="17" fillId="0" borderId="3" xfId="68" applyNumberFormat="1" applyFont="1" applyBorder="1" applyAlignment="1">
      <alignment horizontal="center" vertical="center"/>
    </xf>
    <xf numFmtId="165" fontId="14" fillId="0" borderId="0" xfId="68" applyNumberFormat="1" applyFont="1" applyAlignment="1">
      <alignment horizontal="center"/>
    </xf>
    <xf numFmtId="165" fontId="16" fillId="0" borderId="0" xfId="68" applyNumberFormat="1" applyFont="1" applyAlignment="1">
      <alignment horizontal="center"/>
    </xf>
    <xf numFmtId="165" fontId="17" fillId="0" borderId="5" xfId="68" applyNumberFormat="1" applyFont="1" applyBorder="1" applyAlignment="1">
      <alignment horizontal="center"/>
    </xf>
    <xf numFmtId="165" fontId="17" fillId="0" borderId="0" xfId="68" applyNumberFormat="1" applyFont="1" applyAlignment="1">
      <alignment horizontal="center"/>
    </xf>
    <xf numFmtId="165" fontId="18" fillId="0" borderId="0" xfId="68" applyNumberFormat="1" applyFont="1" applyAlignment="1">
      <alignment horizontal="center"/>
    </xf>
    <xf numFmtId="49" fontId="14" fillId="0" borderId="0" xfId="68" applyNumberFormat="1" applyFont="1"/>
    <xf numFmtId="166" fontId="14" fillId="0" borderId="0" xfId="68" applyNumberFormat="1" applyFont="1" applyAlignment="1">
      <alignment horizontal="center"/>
    </xf>
    <xf numFmtId="166" fontId="14" fillId="0" borderId="0" xfId="68" applyNumberFormat="1" applyFont="1"/>
    <xf numFmtId="0" fontId="14" fillId="0" borderId="0" xfId="68" applyFont="1" applyAlignment="1">
      <alignment horizontal="center"/>
    </xf>
    <xf numFmtId="165" fontId="17" fillId="0" borderId="5" xfId="68" applyNumberFormat="1" applyFont="1" applyBorder="1"/>
    <xf numFmtId="0" fontId="17" fillId="0" borderId="0" xfId="68" applyFont="1"/>
    <xf numFmtId="0" fontId="19" fillId="0" borderId="0" xfId="2" applyFont="1"/>
    <xf numFmtId="0" fontId="19" fillId="0" borderId="0" xfId="2" applyFont="1" applyAlignment="1">
      <alignment horizontal="center"/>
    </xf>
    <xf numFmtId="0" fontId="19" fillId="0" borderId="0" xfId="2" applyFont="1" applyAlignment="1">
      <alignment horizontal="justify" vertical="top" wrapText="1"/>
    </xf>
    <xf numFmtId="0" fontId="20" fillId="0" borderId="0" xfId="2" applyFont="1" applyAlignment="1">
      <alignment horizontal="center" vertical="center"/>
    </xf>
    <xf numFmtId="0" fontId="19" fillId="0" borderId="0" xfId="2" applyFont="1" applyAlignment="1">
      <alignment vertical="center"/>
    </xf>
    <xf numFmtId="0" fontId="21" fillId="0" borderId="0" xfId="2" applyFont="1" applyAlignment="1">
      <alignment horizontal="justify" vertical="top" wrapText="1"/>
    </xf>
    <xf numFmtId="0" fontId="20" fillId="0" borderId="0" xfId="2" applyFont="1"/>
    <xf numFmtId="165" fontId="19" fillId="0" borderId="0" xfId="1" applyFont="1" applyAlignment="1">
      <alignment horizontal="justify" vertical="top" wrapText="1"/>
    </xf>
    <xf numFmtId="0" fontId="19" fillId="0" borderId="0" xfId="2" applyFont="1" applyAlignment="1">
      <alignment horizontal="left" vertical="top" wrapText="1"/>
    </xf>
    <xf numFmtId="0" fontId="20" fillId="0" borderId="0" xfId="2" applyFont="1" applyAlignment="1">
      <alignment horizontal="justify" vertical="top" wrapText="1"/>
    </xf>
    <xf numFmtId="165" fontId="19" fillId="0" borderId="0" xfId="1" applyFont="1" applyFill="1" applyBorder="1" applyAlignment="1" applyProtection="1"/>
    <xf numFmtId="0" fontId="20" fillId="0" borderId="0" xfId="2" applyFont="1" applyAlignment="1">
      <alignment horizontal="left" vertical="top" wrapText="1"/>
    </xf>
    <xf numFmtId="0" fontId="20" fillId="0" borderId="0" xfId="2" applyFont="1" applyAlignment="1">
      <alignment horizontal="left" wrapText="1"/>
    </xf>
    <xf numFmtId="0" fontId="19" fillId="0" borderId="0" xfId="2" applyFont="1" applyAlignment="1">
      <alignment wrapText="1"/>
    </xf>
    <xf numFmtId="165" fontId="19" fillId="0" borderId="0" xfId="2" applyNumberFormat="1" applyFont="1" applyAlignment="1">
      <alignment horizontal="center"/>
    </xf>
    <xf numFmtId="0" fontId="19" fillId="0" borderId="0" xfId="2" applyFont="1" applyAlignment="1">
      <alignment vertical="top" wrapText="1"/>
    </xf>
    <xf numFmtId="0" fontId="14" fillId="0" borderId="0" xfId="0" applyFont="1"/>
    <xf numFmtId="165" fontId="14" fillId="0" borderId="0" xfId="0" applyNumberFormat="1" applyFont="1"/>
    <xf numFmtId="0" fontId="17" fillId="0" borderId="0" xfId="0" applyFont="1"/>
    <xf numFmtId="0" fontId="25" fillId="0" borderId="0" xfId="0" applyFont="1"/>
    <xf numFmtId="0" fontId="26" fillId="0" borderId="0" xfId="2" applyFont="1"/>
    <xf numFmtId="165" fontId="19" fillId="0" borderId="0" xfId="1" applyFont="1" applyAlignment="1">
      <alignment horizontal="center"/>
    </xf>
    <xf numFmtId="165" fontId="20" fillId="0" borderId="2" xfId="1" applyFont="1" applyBorder="1" applyAlignment="1">
      <alignment horizontal="center" vertical="center"/>
    </xf>
    <xf numFmtId="165" fontId="21" fillId="0" borderId="0" xfId="1" applyFont="1" applyAlignment="1">
      <alignment horizontal="justify" vertical="top" wrapText="1"/>
    </xf>
    <xf numFmtId="165" fontId="14" fillId="0" borderId="0" xfId="1" applyFont="1"/>
    <xf numFmtId="165" fontId="20" fillId="0" borderId="2" xfId="1" applyFont="1" applyBorder="1" applyAlignment="1">
      <alignment horizontal="center" vertical="center" wrapText="1"/>
    </xf>
    <xf numFmtId="165" fontId="19" fillId="0" borderId="0" xfId="1" applyFont="1" applyBorder="1" applyAlignment="1">
      <alignment horizontal="justify" vertical="top" wrapText="1"/>
    </xf>
    <xf numFmtId="165" fontId="19" fillId="0" borderId="0" xfId="1" applyFont="1" applyFill="1" applyBorder="1" applyAlignment="1" applyProtection="1">
      <alignment vertical="top"/>
    </xf>
    <xf numFmtId="0" fontId="20" fillId="0" borderId="0" xfId="2" applyFont="1" applyAlignment="1">
      <alignment vertical="top" wrapText="1"/>
    </xf>
    <xf numFmtId="165" fontId="20" fillId="0" borderId="0" xfId="1" applyFont="1" applyAlignment="1">
      <alignment horizontal="left" vertical="top" wrapText="1"/>
    </xf>
    <xf numFmtId="165" fontId="14" fillId="0" borderId="0" xfId="0" applyNumberFormat="1" applyFont="1" applyAlignment="1">
      <alignment horizontal="center"/>
    </xf>
    <xf numFmtId="0" fontId="19" fillId="0" borderId="0" xfId="2" applyFont="1" applyAlignment="1">
      <alignment horizontal="center" wrapText="1"/>
    </xf>
    <xf numFmtId="165" fontId="19" fillId="0" borderId="2" xfId="1" applyFont="1" applyFill="1" applyBorder="1" applyAlignment="1" applyProtection="1">
      <alignment vertical="top"/>
    </xf>
    <xf numFmtId="165" fontId="20" fillId="0" borderId="1" xfId="2" applyNumberFormat="1" applyFont="1" applyBorder="1" applyAlignment="1">
      <alignment vertical="top" wrapText="1"/>
    </xf>
    <xf numFmtId="0" fontId="16" fillId="0" borderId="0" xfId="68" applyFont="1"/>
    <xf numFmtId="165" fontId="19" fillId="0" borderId="0" xfId="3" applyFont="1" applyFill="1" applyBorder="1" applyAlignment="1" applyProtection="1"/>
    <xf numFmtId="165" fontId="19" fillId="0" borderId="0" xfId="1" applyFont="1" applyBorder="1" applyAlignment="1">
      <alignment horizontal="center" vertical="top" wrapText="1"/>
    </xf>
    <xf numFmtId="165" fontId="20" fillId="0" borderId="0" xfId="3" applyFont="1" applyFill="1" applyBorder="1" applyAlignment="1" applyProtection="1"/>
    <xf numFmtId="165" fontId="19" fillId="0" borderId="0" xfId="3" applyFont="1" applyFill="1" applyBorder="1" applyAlignment="1" applyProtection="1">
      <alignment vertical="top"/>
    </xf>
    <xf numFmtId="0" fontId="19" fillId="0" borderId="0" xfId="2" applyFont="1" applyAlignment="1">
      <alignment horizontal="right"/>
    </xf>
    <xf numFmtId="0" fontId="20" fillId="0" borderId="0" xfId="2" applyFont="1" applyAlignment="1">
      <alignment vertical="center"/>
    </xf>
    <xf numFmtId="165" fontId="20" fillId="0" borderId="0" xfId="1" applyFont="1" applyBorder="1" applyAlignment="1">
      <alignment horizontal="left" vertical="top" wrapText="1"/>
    </xf>
    <xf numFmtId="165" fontId="19" fillId="0" borderId="0" xfId="1" applyFont="1" applyAlignment="1">
      <alignment horizontal="left" vertical="top" wrapText="1"/>
    </xf>
    <xf numFmtId="165" fontId="19" fillId="0" borderId="2" xfId="1" applyFont="1" applyBorder="1" applyAlignment="1">
      <alignment horizontal="left" vertical="top" wrapText="1"/>
    </xf>
    <xf numFmtId="164" fontId="19" fillId="0" borderId="0" xfId="2" applyNumberFormat="1" applyFont="1"/>
    <xf numFmtId="0" fontId="14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20" fillId="0" borderId="0" xfId="2" applyFont="1" applyAlignment="1">
      <alignment horizontal="center" vertical="center" wrapText="1"/>
    </xf>
    <xf numFmtId="0" fontId="19" fillId="0" borderId="0" xfId="2" applyFont="1" applyAlignment="1">
      <alignment horizontal="justify" wrapText="1"/>
    </xf>
    <xf numFmtId="0" fontId="14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23" fillId="0" borderId="0" xfId="68" applyFont="1"/>
    <xf numFmtId="166" fontId="23" fillId="0" borderId="0" xfId="68" applyNumberFormat="1" applyFont="1"/>
    <xf numFmtId="165" fontId="23" fillId="0" borderId="0" xfId="68" applyNumberFormat="1" applyFont="1"/>
    <xf numFmtId="165" fontId="26" fillId="0" borderId="0" xfId="68" applyNumberFormat="1" applyFont="1" applyAlignment="1">
      <alignment horizontal="center"/>
    </xf>
    <xf numFmtId="0" fontId="26" fillId="0" borderId="0" xfId="68" applyFont="1"/>
    <xf numFmtId="165" fontId="23" fillId="0" borderId="0" xfId="68" applyNumberFormat="1" applyFont="1" applyAlignment="1">
      <alignment horizontal="center"/>
    </xf>
    <xf numFmtId="165" fontId="16" fillId="0" borderId="0" xfId="68" applyNumberFormat="1" applyFont="1" applyAlignment="1">
      <alignment horizontal="left"/>
    </xf>
    <xf numFmtId="166" fontId="16" fillId="0" borderId="0" xfId="68" applyNumberFormat="1" applyFont="1"/>
    <xf numFmtId="10" fontId="0" fillId="0" borderId="0" xfId="69" applyNumberFormat="1" applyFont="1"/>
    <xf numFmtId="165" fontId="14" fillId="0" borderId="3" xfId="68" applyNumberFormat="1" applyFont="1" applyBorder="1" applyAlignment="1">
      <alignment horizontal="center"/>
    </xf>
    <xf numFmtId="0" fontId="15" fillId="0" borderId="3" xfId="68" applyFont="1" applyBorder="1"/>
    <xf numFmtId="0" fontId="14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165" fontId="14" fillId="0" borderId="0" xfId="1" applyFont="1" applyAlignment="1">
      <alignment vertical="top"/>
    </xf>
    <xf numFmtId="165" fontId="17" fillId="0" borderId="5" xfId="1" applyFont="1" applyBorder="1" applyAlignment="1">
      <alignment vertical="top"/>
    </xf>
    <xf numFmtId="165" fontId="17" fillId="0" borderId="4" xfId="1" applyFont="1" applyBorder="1" applyAlignment="1">
      <alignment vertical="top"/>
    </xf>
    <xf numFmtId="165" fontId="17" fillId="0" borderId="0" xfId="1" applyFont="1" applyBorder="1" applyAlignment="1">
      <alignment vertical="top"/>
    </xf>
    <xf numFmtId="165" fontId="14" fillId="0" borderId="0" xfId="1" applyFont="1" applyFill="1" applyAlignment="1">
      <alignment vertical="top"/>
    </xf>
    <xf numFmtId="165" fontId="19" fillId="0" borderId="0" xfId="1" applyFont="1" applyAlignment="1">
      <alignment horizontal="center" vertical="top"/>
    </xf>
    <xf numFmtId="165" fontId="17" fillId="0" borderId="6" xfId="1" applyFont="1" applyBorder="1" applyAlignment="1">
      <alignment vertical="top"/>
    </xf>
    <xf numFmtId="165" fontId="17" fillId="0" borderId="2" xfId="1" applyFont="1" applyBorder="1" applyAlignment="1">
      <alignment vertical="top"/>
    </xf>
    <xf numFmtId="165" fontId="20" fillId="0" borderId="2" xfId="1" applyFont="1" applyFill="1" applyBorder="1" applyAlignment="1" applyProtection="1">
      <alignment vertical="top"/>
    </xf>
    <xf numFmtId="165" fontId="22" fillId="0" borderId="0" xfId="1" applyFont="1" applyFill="1" applyAlignment="1">
      <alignment horizontal="right" vertical="center"/>
    </xf>
    <xf numFmtId="165" fontId="14" fillId="0" borderId="0" xfId="0" applyNumberFormat="1" applyFont="1" applyAlignment="1">
      <alignment vertical="top"/>
    </xf>
    <xf numFmtId="165" fontId="14" fillId="0" borderId="0" xfId="0" applyNumberFormat="1" applyFont="1" applyAlignment="1">
      <alignment horizontal="center" vertical="top"/>
    </xf>
    <xf numFmtId="165" fontId="17" fillId="0" borderId="5" xfId="0" applyNumberFormat="1" applyFont="1" applyBorder="1" applyAlignment="1">
      <alignment vertical="top"/>
    </xf>
    <xf numFmtId="165" fontId="14" fillId="0" borderId="5" xfId="0" applyNumberFormat="1" applyFont="1" applyBorder="1" applyAlignment="1">
      <alignment vertical="top"/>
    </xf>
    <xf numFmtId="165" fontId="14" fillId="0" borderId="5" xfId="0" applyNumberFormat="1" applyFont="1" applyBorder="1" applyAlignment="1">
      <alignment horizontal="center" vertical="top"/>
    </xf>
    <xf numFmtId="0" fontId="19" fillId="0" borderId="0" xfId="2" applyFont="1" applyAlignment="1">
      <alignment vertical="top"/>
    </xf>
    <xf numFmtId="165" fontId="20" fillId="0" borderId="0" xfId="1" applyFont="1" applyFill="1" applyBorder="1" applyAlignment="1" applyProtection="1">
      <alignment vertical="top"/>
    </xf>
    <xf numFmtId="165" fontId="22" fillId="0" borderId="1" xfId="1" applyFont="1" applyFill="1" applyBorder="1" applyAlignment="1" applyProtection="1">
      <alignment vertical="top"/>
    </xf>
    <xf numFmtId="0" fontId="20" fillId="0" borderId="0" xfId="2" applyFont="1" applyAlignment="1">
      <alignment vertical="top"/>
    </xf>
    <xf numFmtId="167" fontId="19" fillId="0" borderId="0" xfId="2" applyNumberFormat="1" applyFont="1" applyAlignment="1">
      <alignment vertical="top"/>
    </xf>
    <xf numFmtId="167" fontId="20" fillId="0" borderId="0" xfId="2" applyNumberFormat="1" applyFont="1" applyAlignment="1">
      <alignment vertical="top"/>
    </xf>
    <xf numFmtId="0" fontId="19" fillId="0" borderId="0" xfId="2" applyFont="1" applyAlignment="1">
      <alignment horizontal="center" vertical="top"/>
    </xf>
    <xf numFmtId="0" fontId="25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24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165" fontId="19" fillId="0" borderId="0" xfId="2" applyNumberFormat="1" applyFont="1" applyAlignment="1">
      <alignment horizontal="left" vertical="top" wrapText="1"/>
    </xf>
    <xf numFmtId="167" fontId="19" fillId="0" borderId="0" xfId="1" applyNumberFormat="1" applyFont="1" applyFill="1" applyBorder="1" applyAlignment="1" applyProtection="1">
      <alignment vertical="top"/>
    </xf>
    <xf numFmtId="165" fontId="20" fillId="0" borderId="1" xfId="1" applyFont="1" applyFill="1" applyBorder="1" applyAlignment="1" applyProtection="1">
      <alignment vertical="top"/>
    </xf>
    <xf numFmtId="49" fontId="20" fillId="0" borderId="0" xfId="2" applyNumberFormat="1" applyFont="1" applyAlignment="1">
      <alignment horizontal="left" vertical="top"/>
    </xf>
    <xf numFmtId="0" fontId="20" fillId="0" borderId="0" xfId="2" applyFont="1" applyAlignment="1">
      <alignment horizontal="center" vertical="top"/>
    </xf>
    <xf numFmtId="165" fontId="17" fillId="0" borderId="0" xfId="68" applyNumberFormat="1" applyFont="1" applyAlignment="1">
      <alignment horizontal="right" vertical="center"/>
    </xf>
    <xf numFmtId="165" fontId="14" fillId="0" borderId="1" xfId="68" applyNumberFormat="1" applyFont="1" applyBorder="1"/>
    <xf numFmtId="165" fontId="17" fillId="0" borderId="4" xfId="68" applyNumberFormat="1" applyFont="1" applyBorder="1"/>
    <xf numFmtId="165" fontId="14" fillId="0" borderId="4" xfId="68" applyNumberFormat="1" applyFont="1" applyBorder="1"/>
    <xf numFmtId="165" fontId="17" fillId="0" borderId="4" xfId="68" applyNumberFormat="1" applyFont="1" applyBorder="1" applyAlignment="1">
      <alignment horizontal="center"/>
    </xf>
    <xf numFmtId="165" fontId="17" fillId="0" borderId="1" xfId="68" applyNumberFormat="1" applyFont="1" applyBorder="1"/>
    <xf numFmtId="165" fontId="17" fillId="0" borderId="1" xfId="68" applyNumberFormat="1" applyFont="1" applyBorder="1" applyAlignment="1">
      <alignment horizontal="center"/>
    </xf>
    <xf numFmtId="0" fontId="20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20" fillId="0" borderId="0" xfId="2" applyFont="1" applyAlignment="1">
      <alignment horizontal="left" vertical="top" wrapText="1"/>
    </xf>
    <xf numFmtId="0" fontId="19" fillId="0" borderId="0" xfId="2" applyFont="1" applyAlignment="1">
      <alignment horizontal="left" vertical="top" wrapText="1"/>
    </xf>
    <xf numFmtId="0" fontId="20" fillId="0" borderId="0" xfId="2" applyFont="1" applyAlignment="1">
      <alignment horizontal="left" vertical="top"/>
    </xf>
    <xf numFmtId="165" fontId="14" fillId="0" borderId="0" xfId="68" applyNumberFormat="1" applyFont="1" applyAlignment="1">
      <alignment horizontal="center"/>
    </xf>
    <xf numFmtId="0" fontId="14" fillId="0" borderId="0" xfId="68" applyFont="1"/>
    <xf numFmtId="0" fontId="14" fillId="0" borderId="0" xfId="68" applyFont="1" applyAlignment="1">
      <alignment horizontal="center"/>
    </xf>
    <xf numFmtId="165" fontId="17" fillId="0" borderId="0" xfId="68" applyNumberFormat="1" applyFont="1" applyAlignment="1">
      <alignment horizontal="center"/>
    </xf>
    <xf numFmtId="0" fontId="15" fillId="0" borderId="0" xfId="68" applyFont="1"/>
    <xf numFmtId="165" fontId="17" fillId="0" borderId="4" xfId="68" applyNumberFormat="1" applyFont="1" applyBorder="1" applyAlignment="1">
      <alignment horizontal="center" vertical="center" wrapText="1"/>
    </xf>
    <xf numFmtId="0" fontId="15" fillId="0" borderId="4" xfId="68" applyFont="1" applyBorder="1"/>
    <xf numFmtId="0" fontId="15" fillId="0" borderId="3" xfId="68" applyFont="1" applyBorder="1"/>
    <xf numFmtId="165" fontId="17" fillId="0" borderId="4" xfId="68" applyNumberFormat="1" applyFont="1" applyBorder="1" applyAlignment="1">
      <alignment horizontal="center" vertical="center"/>
    </xf>
    <xf numFmtId="165" fontId="14" fillId="0" borderId="3" xfId="68" applyNumberFormat="1" applyFont="1" applyBorder="1" applyAlignment="1">
      <alignment horizontal="center"/>
    </xf>
  </cellXfs>
  <cellStyles count="70">
    <cellStyle name="Comma" xfId="1" builtinId="3"/>
    <cellStyle name="Comma 10" xfId="13" xr:uid="{00000000-0005-0000-0000-000001000000}"/>
    <cellStyle name="Comma 11" xfId="14" xr:uid="{00000000-0005-0000-0000-000002000000}"/>
    <cellStyle name="Comma 11 2" xfId="15" xr:uid="{00000000-0005-0000-0000-000003000000}"/>
    <cellStyle name="Comma 12" xfId="16" xr:uid="{00000000-0005-0000-0000-000004000000}"/>
    <cellStyle name="Comma 13" xfId="17" xr:uid="{00000000-0005-0000-0000-000005000000}"/>
    <cellStyle name="Comma 14" xfId="9" xr:uid="{00000000-0005-0000-0000-000006000000}"/>
    <cellStyle name="Comma 2" xfId="11" xr:uid="{00000000-0005-0000-0000-000007000000}"/>
    <cellStyle name="Comma 2 10" xfId="10" xr:uid="{00000000-0005-0000-0000-000008000000}"/>
    <cellStyle name="Comma 2 10 2" xfId="4" xr:uid="{00000000-0005-0000-0000-000009000000}"/>
    <cellStyle name="Comma 2 2" xfId="12" xr:uid="{00000000-0005-0000-0000-00000A000000}"/>
    <cellStyle name="Comma 2 2 2" xfId="18" xr:uid="{00000000-0005-0000-0000-00000B000000}"/>
    <cellStyle name="Comma 2 3" xfId="19" xr:uid="{00000000-0005-0000-0000-00000C000000}"/>
    <cellStyle name="Comma 2 4" xfId="20" xr:uid="{00000000-0005-0000-0000-00000D000000}"/>
    <cellStyle name="Comma 2 4 2" xfId="21" xr:uid="{00000000-0005-0000-0000-00000E000000}"/>
    <cellStyle name="Comma 2 5" xfId="22" xr:uid="{00000000-0005-0000-0000-00000F000000}"/>
    <cellStyle name="Comma 2 6" xfId="23" xr:uid="{00000000-0005-0000-0000-000010000000}"/>
    <cellStyle name="Comma 2 7" xfId="24" xr:uid="{00000000-0005-0000-0000-000011000000}"/>
    <cellStyle name="Comma 2 8" xfId="25" xr:uid="{00000000-0005-0000-0000-000012000000}"/>
    <cellStyle name="Comma 2 9" xfId="26" xr:uid="{00000000-0005-0000-0000-000013000000}"/>
    <cellStyle name="Comma 3" xfId="27" xr:uid="{00000000-0005-0000-0000-000014000000}"/>
    <cellStyle name="Comma 3 2" xfId="28" xr:uid="{00000000-0005-0000-0000-000015000000}"/>
    <cellStyle name="Comma 4" xfId="29" xr:uid="{00000000-0005-0000-0000-000016000000}"/>
    <cellStyle name="Comma 5" xfId="3" xr:uid="{00000000-0005-0000-0000-000017000000}"/>
    <cellStyle name="Comma 6" xfId="30" xr:uid="{00000000-0005-0000-0000-000018000000}"/>
    <cellStyle name="Comma 7" xfId="31" xr:uid="{00000000-0005-0000-0000-000019000000}"/>
    <cellStyle name="Comma 8" xfId="32" xr:uid="{00000000-0005-0000-0000-00001A000000}"/>
    <cellStyle name="Comma 9" xfId="33" xr:uid="{00000000-0005-0000-0000-00001B000000}"/>
    <cellStyle name="Hyperlink 2" xfId="34" xr:uid="{00000000-0005-0000-0000-00001C000000}"/>
    <cellStyle name="Normal" xfId="0" builtinId="0"/>
    <cellStyle name="Normal 10" xfId="2" xr:uid="{00000000-0005-0000-0000-00001E000000}"/>
    <cellStyle name="Normal 11" xfId="35" xr:uid="{00000000-0005-0000-0000-00001F000000}"/>
    <cellStyle name="Normal 12" xfId="36" xr:uid="{00000000-0005-0000-0000-000020000000}"/>
    <cellStyle name="Normal 13" xfId="67" xr:uid="{00000000-0005-0000-0000-000021000000}"/>
    <cellStyle name="Normal 14" xfId="68" xr:uid="{00000000-0005-0000-0000-000022000000}"/>
    <cellStyle name="Normal 2" xfId="5" xr:uid="{00000000-0005-0000-0000-000023000000}"/>
    <cellStyle name="Normal 2 2" xfId="37" xr:uid="{00000000-0005-0000-0000-000024000000}"/>
    <cellStyle name="Normal 2 2 2" xfId="38" xr:uid="{00000000-0005-0000-0000-000025000000}"/>
    <cellStyle name="Normal 2 2 2 2" xfId="39" xr:uid="{00000000-0005-0000-0000-000026000000}"/>
    <cellStyle name="Normal 2 2 3" xfId="7" xr:uid="{00000000-0005-0000-0000-000027000000}"/>
    <cellStyle name="Normal 2 3" xfId="40" xr:uid="{00000000-0005-0000-0000-000028000000}"/>
    <cellStyle name="Normal 2 3 2" xfId="6" xr:uid="{00000000-0005-0000-0000-000029000000}"/>
    <cellStyle name="Normal 2 4" xfId="41" xr:uid="{00000000-0005-0000-0000-00002A000000}"/>
    <cellStyle name="Normal 2 5" xfId="42" xr:uid="{00000000-0005-0000-0000-00002B000000}"/>
    <cellStyle name="Normal 2 6" xfId="43" xr:uid="{00000000-0005-0000-0000-00002C000000}"/>
    <cellStyle name="Normal 2 7" xfId="44" xr:uid="{00000000-0005-0000-0000-00002D000000}"/>
    <cellStyle name="Normal 2 9" xfId="45" xr:uid="{00000000-0005-0000-0000-00002E000000}"/>
    <cellStyle name="Normal 2_251" xfId="46" xr:uid="{00000000-0005-0000-0000-00002F000000}"/>
    <cellStyle name="Normal 3" xfId="47" xr:uid="{00000000-0005-0000-0000-000030000000}"/>
    <cellStyle name="Normal 3 2" xfId="48" xr:uid="{00000000-0005-0000-0000-000031000000}"/>
    <cellStyle name="Normal 3 2 2" xfId="49" xr:uid="{00000000-0005-0000-0000-000032000000}"/>
    <cellStyle name="Normal 3 3" xfId="50" xr:uid="{00000000-0005-0000-0000-000033000000}"/>
    <cellStyle name="Normal 4" xfId="8" xr:uid="{00000000-0005-0000-0000-000034000000}"/>
    <cellStyle name="Normal 4 2" xfId="51" xr:uid="{00000000-0005-0000-0000-000035000000}"/>
    <cellStyle name="Normal 4 2 2" xfId="52" xr:uid="{00000000-0005-0000-0000-000036000000}"/>
    <cellStyle name="Normal 4 3" xfId="53" xr:uid="{00000000-0005-0000-0000-000037000000}"/>
    <cellStyle name="Normal 4 4" xfId="54" xr:uid="{00000000-0005-0000-0000-000038000000}"/>
    <cellStyle name="Normal 4 5" xfId="55" xr:uid="{00000000-0005-0000-0000-000039000000}"/>
    <cellStyle name="Normal 4 6" xfId="56" xr:uid="{00000000-0005-0000-0000-00003A000000}"/>
    <cellStyle name="Normal 4 6 2" xfId="57" xr:uid="{00000000-0005-0000-0000-00003B000000}"/>
    <cellStyle name="Normal 4 7" xfId="58" xr:uid="{00000000-0005-0000-0000-00003C000000}"/>
    <cellStyle name="Normal 4_251" xfId="59" xr:uid="{00000000-0005-0000-0000-00003D000000}"/>
    <cellStyle name="Normal 5" xfId="60" xr:uid="{00000000-0005-0000-0000-00003E000000}"/>
    <cellStyle name="Normal 5 2" xfId="61" xr:uid="{00000000-0005-0000-0000-00003F000000}"/>
    <cellStyle name="Normal 6" xfId="62" xr:uid="{00000000-0005-0000-0000-000040000000}"/>
    <cellStyle name="Normal 7" xfId="63" xr:uid="{00000000-0005-0000-0000-000041000000}"/>
    <cellStyle name="Normal 7 2" xfId="64" xr:uid="{00000000-0005-0000-0000-000042000000}"/>
    <cellStyle name="Normal 8" xfId="65" xr:uid="{00000000-0005-0000-0000-000043000000}"/>
    <cellStyle name="Normal 9" xfId="66" xr:uid="{00000000-0005-0000-0000-000044000000}"/>
    <cellStyle name="Percent" xfId="6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144</xdr:row>
          <xdr:rowOff>0</xdr:rowOff>
        </xdr:from>
        <xdr:to>
          <xdr:col>5</xdr:col>
          <xdr:colOff>975360</xdr:colOff>
          <xdr:row>183</xdr:row>
          <xdr:rowOff>160020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Jonathan\Google%20Drive\COA\chart%20of%20Accounts%201-6-16\financial%20Statements\Cash%20Flow%20Statement%20-%20GF_SEF.doc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Word.Document.12">
    <oleItems>
      <oleItem name="!OLE_LINK1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image" Target="../media/image1.emf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8"/>
  <sheetViews>
    <sheetView showGridLines="0" tabSelected="1" zoomScaleNormal="100" zoomScaleSheetLayoutView="100" zoomScalePageLayoutView="49" workbookViewId="0"/>
  </sheetViews>
  <sheetFormatPr defaultColWidth="11.44140625" defaultRowHeight="13.8"/>
  <cols>
    <col min="1" max="2" width="3.33203125" style="20" customWidth="1"/>
    <col min="3" max="3" width="35.21875" style="51" customWidth="1"/>
    <col min="4" max="5" width="19.21875" style="41" bestFit="1" customWidth="1"/>
    <col min="6" max="6" width="18.109375" style="41" bestFit="1" customWidth="1"/>
    <col min="7" max="7" width="19.21875" style="41" bestFit="1" customWidth="1"/>
    <col min="8" max="16384" width="11.44140625" style="20"/>
  </cols>
  <sheetData>
    <row r="1" spans="1:7">
      <c r="G1" s="93" t="s">
        <v>48</v>
      </c>
    </row>
    <row r="2" spans="1:7">
      <c r="A2" s="122" t="s">
        <v>25</v>
      </c>
      <c r="B2" s="122"/>
      <c r="C2" s="122"/>
      <c r="D2" s="122"/>
      <c r="E2" s="122"/>
      <c r="F2" s="122"/>
      <c r="G2" s="122"/>
    </row>
    <row r="3" spans="1:7">
      <c r="A3" s="122" t="s">
        <v>52</v>
      </c>
      <c r="B3" s="122"/>
      <c r="C3" s="122"/>
      <c r="D3" s="122"/>
      <c r="E3" s="122"/>
      <c r="F3" s="122"/>
      <c r="G3" s="122"/>
    </row>
    <row r="4" spans="1:7">
      <c r="A4" s="123" t="s">
        <v>382</v>
      </c>
      <c r="B4" s="123"/>
      <c r="C4" s="123"/>
      <c r="D4" s="123"/>
      <c r="E4" s="123"/>
      <c r="F4" s="123"/>
      <c r="G4" s="123"/>
    </row>
    <row r="5" spans="1:7">
      <c r="A5" s="123" t="s">
        <v>248</v>
      </c>
      <c r="B5" s="123"/>
      <c r="C5" s="123"/>
      <c r="D5" s="123"/>
      <c r="E5" s="123"/>
      <c r="F5" s="123"/>
      <c r="G5" s="123"/>
    </row>
    <row r="6" spans="1:7">
      <c r="C6" s="22"/>
      <c r="D6" s="27"/>
      <c r="E6" s="27"/>
      <c r="F6" s="27"/>
      <c r="G6" s="27"/>
    </row>
    <row r="7" spans="1:7" s="24" customFormat="1" ht="27.6">
      <c r="A7" s="23"/>
      <c r="B7" s="23"/>
      <c r="C7" s="67"/>
      <c r="D7" s="42" t="s">
        <v>0</v>
      </c>
      <c r="E7" s="45" t="s">
        <v>1</v>
      </c>
      <c r="F7" s="42" t="s">
        <v>2</v>
      </c>
      <c r="G7" s="42" t="s">
        <v>3</v>
      </c>
    </row>
    <row r="8" spans="1:7">
      <c r="C8" s="25"/>
      <c r="D8" s="43"/>
      <c r="E8" s="43"/>
      <c r="F8" s="43"/>
      <c r="G8" s="43"/>
    </row>
    <row r="9" spans="1:7">
      <c r="A9" s="26" t="s">
        <v>140</v>
      </c>
      <c r="C9" s="25"/>
      <c r="D9" s="43"/>
      <c r="E9" s="43"/>
      <c r="F9" s="43"/>
      <c r="G9" s="43"/>
    </row>
    <row r="10" spans="1:7">
      <c r="B10" s="39" t="s">
        <v>35</v>
      </c>
      <c r="C10" s="69"/>
      <c r="D10" s="44"/>
      <c r="E10" s="44"/>
      <c r="F10" s="44"/>
      <c r="G10" s="44"/>
    </row>
    <row r="11" spans="1:7">
      <c r="B11" s="36"/>
      <c r="C11" s="82" t="s">
        <v>141</v>
      </c>
      <c r="D11" s="84">
        <v>32319772.550000001</v>
      </c>
      <c r="E11" s="84">
        <v>17014218.469999999</v>
      </c>
      <c r="F11" s="84">
        <v>25119003.129999999</v>
      </c>
      <c r="G11" s="84">
        <f>SUM(D11:F11)</f>
        <v>74452994.149999991</v>
      </c>
    </row>
    <row r="12" spans="1:7">
      <c r="B12" s="36"/>
      <c r="C12" s="82" t="s">
        <v>142</v>
      </c>
      <c r="D12" s="84">
        <v>1073775.8799999999</v>
      </c>
      <c r="E12" s="84">
        <v>399747.75</v>
      </c>
      <c r="F12" s="84">
        <v>5290322.38</v>
      </c>
      <c r="G12" s="84">
        <f>SUM(D12:F12)</f>
        <v>6763846.0099999998</v>
      </c>
    </row>
    <row r="13" spans="1:7" ht="27.6">
      <c r="B13" s="36"/>
      <c r="C13" s="82" t="s">
        <v>143</v>
      </c>
      <c r="D13" s="84">
        <v>2063485412.55</v>
      </c>
      <c r="E13" s="84">
        <v>1715062108.53</v>
      </c>
      <c r="F13" s="84">
        <v>3432974456.48</v>
      </c>
      <c r="G13" s="84">
        <f>SUM(D13:F13)</f>
        <v>7211521977.5599995</v>
      </c>
    </row>
    <row r="14" spans="1:7" ht="27.6">
      <c r="B14" s="36"/>
      <c r="C14" s="82" t="s">
        <v>144</v>
      </c>
      <c r="D14" s="84">
        <v>47602333.950000003</v>
      </c>
      <c r="E14" s="84">
        <v>985131168.59000003</v>
      </c>
      <c r="F14" s="84">
        <v>0</v>
      </c>
      <c r="G14" s="84">
        <f>SUM(D14:F14)</f>
        <v>1032733502.5400001</v>
      </c>
    </row>
    <row r="15" spans="1:7" ht="13.8" customHeight="1">
      <c r="B15" s="36"/>
      <c r="C15" s="82" t="s">
        <v>145</v>
      </c>
      <c r="D15" s="84">
        <v>0</v>
      </c>
      <c r="E15" s="84">
        <v>0</v>
      </c>
      <c r="F15" s="84">
        <v>257912.2</v>
      </c>
      <c r="G15" s="84">
        <v>257912.2</v>
      </c>
    </row>
    <row r="16" spans="1:7" s="26" customFormat="1">
      <c r="B16" s="38"/>
      <c r="C16" s="83" t="s">
        <v>146</v>
      </c>
      <c r="D16" s="85">
        <f>SUM(D11:D15)</f>
        <v>2144481294.9300001</v>
      </c>
      <c r="E16" s="85">
        <f>SUM(E11:E15)</f>
        <v>2717607243.3400002</v>
      </c>
      <c r="F16" s="85">
        <f>SUM(F11:F15)</f>
        <v>3463641694.1900001</v>
      </c>
      <c r="G16" s="85">
        <f>SUM(G11:G15)</f>
        <v>8325730232.4599991</v>
      </c>
    </row>
    <row r="17" spans="2:7">
      <c r="B17" s="36"/>
      <c r="C17" s="82" t="s">
        <v>147</v>
      </c>
      <c r="D17" s="84">
        <v>446250</v>
      </c>
      <c r="E17" s="84">
        <v>0</v>
      </c>
      <c r="F17" s="84">
        <v>0</v>
      </c>
      <c r="G17" s="84">
        <f>SUM(D17:F17)</f>
        <v>446250</v>
      </c>
    </row>
    <row r="18" spans="2:7">
      <c r="B18" s="36"/>
      <c r="C18" s="82" t="s">
        <v>148</v>
      </c>
      <c r="D18" s="84">
        <v>20126061.359999999</v>
      </c>
      <c r="E18" s="84">
        <v>4438503.87</v>
      </c>
      <c r="F18" s="84">
        <v>0</v>
      </c>
      <c r="G18" s="84">
        <f>SUM(D18:F18)</f>
        <v>24564565.23</v>
      </c>
    </row>
    <row r="19" spans="2:7">
      <c r="B19" s="36"/>
      <c r="C19" s="82" t="s">
        <v>149</v>
      </c>
      <c r="D19" s="84">
        <v>1404067841.72</v>
      </c>
      <c r="E19" s="84">
        <v>0</v>
      </c>
      <c r="F19" s="84">
        <v>0</v>
      </c>
      <c r="G19" s="84">
        <f>SUM(D19:F19)</f>
        <v>1404067841.72</v>
      </c>
    </row>
    <row r="20" spans="2:7" s="26" customFormat="1">
      <c r="B20" s="38"/>
      <c r="C20" s="83" t="s">
        <v>150</v>
      </c>
      <c r="D20" s="85">
        <f>SUM(D17:D19)</f>
        <v>1424640153.0799999</v>
      </c>
      <c r="E20" s="85">
        <f>SUM(E17:E19)</f>
        <v>4438503.87</v>
      </c>
      <c r="F20" s="85">
        <f>SUM(F17:F19)</f>
        <v>0</v>
      </c>
      <c r="G20" s="85">
        <f>SUM(G17:G19)</f>
        <v>1429078656.95</v>
      </c>
    </row>
    <row r="21" spans="2:7">
      <c r="B21" s="36"/>
      <c r="C21" s="82" t="s">
        <v>151</v>
      </c>
      <c r="D21" s="84">
        <v>298945766.81</v>
      </c>
      <c r="E21" s="84">
        <v>0</v>
      </c>
      <c r="F21" s="84">
        <v>4182900</v>
      </c>
      <c r="G21" s="84">
        <f>SUM(D21:F21)</f>
        <v>303128666.81</v>
      </c>
    </row>
    <row r="22" spans="2:7">
      <c r="B22" s="36"/>
      <c r="C22" s="82" t="s">
        <v>152</v>
      </c>
      <c r="D22" s="84">
        <v>11388071632.27</v>
      </c>
      <c r="E22" s="84">
        <v>0</v>
      </c>
      <c r="F22" s="84">
        <v>0</v>
      </c>
      <c r="G22" s="84">
        <f t="shared" ref="G22:G35" si="0">SUM(D22:F22)</f>
        <v>11388071632.27</v>
      </c>
    </row>
    <row r="23" spans="2:7">
      <c r="B23" s="36"/>
      <c r="C23" s="82" t="s">
        <v>153</v>
      </c>
      <c r="D23" s="84">
        <v>0</v>
      </c>
      <c r="E23" s="84">
        <v>5940901605.4300003</v>
      </c>
      <c r="F23" s="84">
        <v>0</v>
      </c>
      <c r="G23" s="84">
        <f t="shared" si="0"/>
        <v>5940901605.4300003</v>
      </c>
    </row>
    <row r="24" spans="2:7">
      <c r="B24" s="36"/>
      <c r="C24" s="82" t="s">
        <v>154</v>
      </c>
      <c r="D24" s="84">
        <v>200178534.59</v>
      </c>
      <c r="E24" s="84">
        <v>0</v>
      </c>
      <c r="F24" s="84">
        <v>0</v>
      </c>
      <c r="G24" s="84">
        <f t="shared" si="0"/>
        <v>200178534.59</v>
      </c>
    </row>
    <row r="25" spans="2:7">
      <c r="B25" s="36"/>
      <c r="C25" s="82" t="s">
        <v>155</v>
      </c>
      <c r="D25" s="84">
        <v>77358375.75</v>
      </c>
      <c r="E25" s="84">
        <v>0</v>
      </c>
      <c r="F25" s="84">
        <v>0</v>
      </c>
      <c r="G25" s="84">
        <f t="shared" si="0"/>
        <v>77358375.75</v>
      </c>
    </row>
    <row r="26" spans="2:7" ht="27.6">
      <c r="B26" s="36"/>
      <c r="C26" s="82" t="s">
        <v>156</v>
      </c>
      <c r="D26" s="84">
        <v>328950382.08999997</v>
      </c>
      <c r="E26" s="84">
        <v>2951043.86</v>
      </c>
      <c r="F26" s="84">
        <v>6605657.1200000001</v>
      </c>
      <c r="G26" s="84">
        <f t="shared" si="0"/>
        <v>338507083.06999999</v>
      </c>
    </row>
    <row r="27" spans="2:7" ht="27.6">
      <c r="B27" s="36"/>
      <c r="C27" s="82" t="s">
        <v>157</v>
      </c>
      <c r="D27" s="84">
        <v>38778737.270000003</v>
      </c>
      <c r="E27" s="84">
        <v>0</v>
      </c>
      <c r="F27" s="84">
        <v>13465784</v>
      </c>
      <c r="G27" s="84">
        <f t="shared" si="0"/>
        <v>52244521.270000003</v>
      </c>
    </row>
    <row r="28" spans="2:7">
      <c r="B28" s="36"/>
      <c r="C28" s="82" t="s">
        <v>158</v>
      </c>
      <c r="D28" s="84">
        <v>77480383</v>
      </c>
      <c r="E28" s="84">
        <v>0</v>
      </c>
      <c r="F28" s="84">
        <v>236981.94</v>
      </c>
      <c r="G28" s="84">
        <f t="shared" si="0"/>
        <v>77717364.939999998</v>
      </c>
    </row>
    <row r="29" spans="2:7">
      <c r="B29" s="36"/>
      <c r="C29" s="82" t="s">
        <v>159</v>
      </c>
      <c r="D29" s="84">
        <v>60484568.700000003</v>
      </c>
      <c r="E29" s="84">
        <v>0</v>
      </c>
      <c r="F29" s="84">
        <v>0</v>
      </c>
      <c r="G29" s="84">
        <f t="shared" si="0"/>
        <v>60484568.700000003</v>
      </c>
    </row>
    <row r="30" spans="2:7">
      <c r="B30" s="36"/>
      <c r="C30" s="82" t="s">
        <v>160</v>
      </c>
      <c r="D30" s="84">
        <v>1321800</v>
      </c>
      <c r="E30" s="84">
        <v>3366000</v>
      </c>
      <c r="F30" s="84">
        <v>3355946.63</v>
      </c>
      <c r="G30" s="84">
        <f t="shared" si="0"/>
        <v>8043746.6299999999</v>
      </c>
    </row>
    <row r="31" spans="2:7" ht="14.4" customHeight="1">
      <c r="B31" s="36"/>
      <c r="C31" s="82" t="s">
        <v>161</v>
      </c>
      <c r="D31" s="84">
        <v>65423007.479999997</v>
      </c>
      <c r="E31" s="84">
        <v>9427907.5099999998</v>
      </c>
      <c r="F31" s="84">
        <v>19990050.52</v>
      </c>
      <c r="G31" s="84">
        <f t="shared" si="0"/>
        <v>94840965.50999999</v>
      </c>
    </row>
    <row r="32" spans="2:7">
      <c r="B32" s="36"/>
      <c r="C32" s="82" t="s">
        <v>162</v>
      </c>
      <c r="D32" s="84">
        <v>2775032.92</v>
      </c>
      <c r="E32" s="84">
        <v>429960</v>
      </c>
      <c r="F32" s="84">
        <v>0</v>
      </c>
      <c r="G32" s="84">
        <f t="shared" si="0"/>
        <v>3204992.92</v>
      </c>
    </row>
    <row r="33" spans="1:7">
      <c r="B33" s="36"/>
      <c r="C33" s="82" t="s">
        <v>163</v>
      </c>
      <c r="D33" s="84">
        <v>844041.33</v>
      </c>
      <c r="E33" s="84">
        <v>1128912.8799999999</v>
      </c>
      <c r="F33" s="84">
        <v>0</v>
      </c>
      <c r="G33" s="84">
        <f t="shared" si="0"/>
        <v>1972954.21</v>
      </c>
    </row>
    <row r="34" spans="1:7">
      <c r="B34" s="36"/>
      <c r="C34" s="82" t="s">
        <v>164</v>
      </c>
      <c r="D34" s="84">
        <v>17743.560000000001</v>
      </c>
      <c r="E34" s="84">
        <v>0</v>
      </c>
      <c r="F34" s="84">
        <v>0</v>
      </c>
      <c r="G34" s="84">
        <f t="shared" si="0"/>
        <v>17743.560000000001</v>
      </c>
    </row>
    <row r="35" spans="1:7">
      <c r="B35" s="36"/>
      <c r="C35" s="82" t="s">
        <v>165</v>
      </c>
      <c r="D35" s="84">
        <v>1299939200.8599999</v>
      </c>
      <c r="E35" s="84">
        <v>187921.73</v>
      </c>
      <c r="F35" s="84">
        <v>12556787.869999999</v>
      </c>
      <c r="G35" s="84">
        <f t="shared" si="0"/>
        <v>1312683910.4599998</v>
      </c>
    </row>
    <row r="36" spans="1:7" s="26" customFormat="1">
      <c r="B36" s="38"/>
      <c r="C36" s="83" t="s">
        <v>166</v>
      </c>
      <c r="D36" s="85">
        <f>SUM(D21:D35)</f>
        <v>13840569206.630001</v>
      </c>
      <c r="E36" s="85">
        <f>SUM(E21:E35)</f>
        <v>5958393351.4099998</v>
      </c>
      <c r="F36" s="85">
        <f>SUM(F21:F35)</f>
        <v>60394108.079999998</v>
      </c>
      <c r="G36" s="85">
        <f>SUM(G21:G35)</f>
        <v>19859356666.119999</v>
      </c>
    </row>
    <row r="37" spans="1:7">
      <c r="B37" s="36"/>
      <c r="C37" s="82" t="s">
        <v>167</v>
      </c>
      <c r="D37" s="84">
        <v>25857318.399999999</v>
      </c>
      <c r="E37" s="84">
        <v>0</v>
      </c>
      <c r="F37" s="84">
        <v>0</v>
      </c>
      <c r="G37" s="84">
        <f>SUM(D37:F37)</f>
        <v>25857318.399999999</v>
      </c>
    </row>
    <row r="38" spans="1:7">
      <c r="B38" s="36"/>
      <c r="C38" s="82" t="s">
        <v>168</v>
      </c>
      <c r="D38" s="84">
        <v>73820390.659999996</v>
      </c>
      <c r="E38" s="84">
        <v>0</v>
      </c>
      <c r="F38" s="84">
        <v>0</v>
      </c>
      <c r="G38" s="84">
        <f t="shared" ref="G38:G48" si="1">SUM(D38:F38)</f>
        <v>73820390.659999996</v>
      </c>
    </row>
    <row r="39" spans="1:7" ht="27.6">
      <c r="B39" s="36"/>
      <c r="C39" s="82" t="s">
        <v>169</v>
      </c>
      <c r="D39" s="84">
        <v>1530567</v>
      </c>
      <c r="E39" s="84">
        <v>0</v>
      </c>
      <c r="F39" s="84">
        <v>0</v>
      </c>
      <c r="G39" s="84">
        <f t="shared" si="1"/>
        <v>1530567</v>
      </c>
    </row>
    <row r="40" spans="1:7">
      <c r="B40" s="36"/>
      <c r="C40" s="82" t="s">
        <v>170</v>
      </c>
      <c r="D40" s="84">
        <v>1406700</v>
      </c>
      <c r="E40" s="84">
        <v>0</v>
      </c>
      <c r="F40" s="84">
        <v>0</v>
      </c>
      <c r="G40" s="84">
        <f t="shared" si="1"/>
        <v>1406700</v>
      </c>
    </row>
    <row r="41" spans="1:7">
      <c r="B41" s="36"/>
      <c r="C41" s="82" t="s">
        <v>171</v>
      </c>
      <c r="D41" s="84">
        <v>5074926.4000000004</v>
      </c>
      <c r="E41" s="84">
        <v>0</v>
      </c>
      <c r="F41" s="84">
        <v>0</v>
      </c>
      <c r="G41" s="84">
        <f t="shared" si="1"/>
        <v>5074926.4000000004</v>
      </c>
    </row>
    <row r="42" spans="1:7">
      <c r="B42" s="36"/>
      <c r="C42" s="82" t="s">
        <v>172</v>
      </c>
      <c r="D42" s="84">
        <v>20549093.34</v>
      </c>
      <c r="E42" s="84">
        <v>0</v>
      </c>
      <c r="F42" s="84">
        <v>0</v>
      </c>
      <c r="G42" s="84">
        <f t="shared" si="1"/>
        <v>20549093.34</v>
      </c>
    </row>
    <row r="43" spans="1:7">
      <c r="B43" s="36"/>
      <c r="C43" s="82" t="s">
        <v>173</v>
      </c>
      <c r="D43" s="84">
        <v>249623451.59</v>
      </c>
      <c r="E43" s="84">
        <v>0</v>
      </c>
      <c r="F43" s="84">
        <v>0</v>
      </c>
      <c r="G43" s="84">
        <f t="shared" si="1"/>
        <v>249623451.59</v>
      </c>
    </row>
    <row r="44" spans="1:7" ht="27.6">
      <c r="B44" s="36"/>
      <c r="C44" s="82" t="s">
        <v>174</v>
      </c>
      <c r="D44" s="84">
        <v>347457915.43000001</v>
      </c>
      <c r="E44" s="84">
        <v>0</v>
      </c>
      <c r="F44" s="84">
        <v>0</v>
      </c>
      <c r="G44" s="84">
        <f t="shared" si="1"/>
        <v>347457915.43000001</v>
      </c>
    </row>
    <row r="45" spans="1:7">
      <c r="B45" s="36"/>
      <c r="C45" s="82" t="s">
        <v>175</v>
      </c>
      <c r="D45" s="84">
        <v>41029728.530000001</v>
      </c>
      <c r="E45" s="84">
        <v>0</v>
      </c>
      <c r="F45" s="84">
        <v>0</v>
      </c>
      <c r="G45" s="84">
        <f t="shared" si="1"/>
        <v>41029728.530000001</v>
      </c>
    </row>
    <row r="46" spans="1:7" ht="27.6">
      <c r="B46" s="36"/>
      <c r="C46" s="82" t="s">
        <v>176</v>
      </c>
      <c r="D46" s="84">
        <v>0</v>
      </c>
      <c r="E46" s="84">
        <v>160992664.16</v>
      </c>
      <c r="F46" s="84">
        <v>0</v>
      </c>
      <c r="G46" s="84">
        <f t="shared" si="1"/>
        <v>160992664.16</v>
      </c>
    </row>
    <row r="47" spans="1:7">
      <c r="A47" s="31"/>
      <c r="B47" s="36"/>
      <c r="C47" s="82" t="s">
        <v>177</v>
      </c>
      <c r="D47" s="84">
        <v>17552498.670000002</v>
      </c>
      <c r="E47" s="84">
        <v>0</v>
      </c>
      <c r="F47" s="84">
        <v>0</v>
      </c>
      <c r="G47" s="84">
        <f t="shared" si="1"/>
        <v>17552498.670000002</v>
      </c>
    </row>
    <row r="48" spans="1:7" ht="13.8" customHeight="1">
      <c r="B48" s="36"/>
      <c r="C48" s="82" t="s">
        <v>178</v>
      </c>
      <c r="D48" s="84">
        <v>247693972.94999999</v>
      </c>
      <c r="E48" s="84">
        <v>134887089.15000001</v>
      </c>
      <c r="F48" s="84">
        <v>0</v>
      </c>
      <c r="G48" s="84">
        <f t="shared" si="1"/>
        <v>382581062.10000002</v>
      </c>
    </row>
    <row r="49" spans="1:7" s="26" customFormat="1">
      <c r="A49" s="31"/>
      <c r="B49" s="38"/>
      <c r="C49" s="83" t="s">
        <v>179</v>
      </c>
      <c r="D49" s="85">
        <f>SUM(D37:D48)</f>
        <v>1031596562.9699998</v>
      </c>
      <c r="E49" s="85">
        <f>SUM(E37:E48)</f>
        <v>295879753.31</v>
      </c>
      <c r="F49" s="85">
        <f>SUM(F37:F48)</f>
        <v>0</v>
      </c>
      <c r="G49" s="85">
        <f>SUM(G37:G48)</f>
        <v>1327476316.2799997</v>
      </c>
    </row>
    <row r="50" spans="1:7">
      <c r="B50" s="36"/>
      <c r="C50" s="82" t="s">
        <v>180</v>
      </c>
      <c r="D50" s="84">
        <v>1421104414.0799999</v>
      </c>
      <c r="E50" s="84">
        <v>539518131.15999997</v>
      </c>
      <c r="F50" s="84">
        <v>1479678.94</v>
      </c>
      <c r="G50" s="84">
        <f>SUM(D50:F50)</f>
        <v>1962102224.1799998</v>
      </c>
    </row>
    <row r="51" spans="1:7">
      <c r="B51" s="36"/>
      <c r="C51" s="82" t="s">
        <v>181</v>
      </c>
      <c r="D51" s="84">
        <v>76862262.840000004</v>
      </c>
      <c r="E51" s="84">
        <v>9885386.3599999994</v>
      </c>
      <c r="F51" s="84">
        <v>0</v>
      </c>
      <c r="G51" s="84">
        <f>SUM(D51:F51)</f>
        <v>86747649.200000003</v>
      </c>
    </row>
    <row r="52" spans="1:7">
      <c r="B52" s="36"/>
      <c r="C52" s="82" t="s">
        <v>182</v>
      </c>
      <c r="D52" s="84">
        <v>58913320.439999998</v>
      </c>
      <c r="E52" s="84">
        <v>0</v>
      </c>
      <c r="F52" s="84">
        <v>0</v>
      </c>
      <c r="G52" s="84">
        <f>SUM(D52:F52)</f>
        <v>58913320.439999998</v>
      </c>
    </row>
    <row r="53" spans="1:7">
      <c r="B53" s="36"/>
      <c r="C53" s="82" t="s">
        <v>183</v>
      </c>
      <c r="D53" s="84">
        <v>0</v>
      </c>
      <c r="E53" s="84">
        <v>1133789.6200000001</v>
      </c>
      <c r="F53" s="84">
        <v>226426.48</v>
      </c>
      <c r="G53" s="84">
        <f>SUM(D53:F53)</f>
        <v>1360216.1</v>
      </c>
    </row>
    <row r="54" spans="1:7" s="26" customFormat="1" ht="27.6">
      <c r="B54" s="38"/>
      <c r="C54" s="83" t="s">
        <v>184</v>
      </c>
      <c r="D54" s="85">
        <f>SUM(D50:D53)</f>
        <v>1556879997.3599999</v>
      </c>
      <c r="E54" s="85">
        <f>SUM(E50:E53)</f>
        <v>550537307.13999999</v>
      </c>
      <c r="F54" s="85">
        <f>SUM(F50:F53)</f>
        <v>1706105.42</v>
      </c>
      <c r="G54" s="85">
        <f>SUM(G50:G53)</f>
        <v>2109123409.9199998</v>
      </c>
    </row>
    <row r="55" spans="1:7" s="26" customFormat="1">
      <c r="B55" s="38" t="s">
        <v>36</v>
      </c>
      <c r="C55" s="66"/>
      <c r="D55" s="85">
        <f>+D54+D49+D36+D20+D16</f>
        <v>19998167214.970001</v>
      </c>
      <c r="E55" s="85">
        <f>+E54+E49+E36+E20+E16</f>
        <v>9526856159.0699997</v>
      </c>
      <c r="F55" s="85">
        <f>+F54+F49+F36+F20+F16</f>
        <v>3525741907.6900001</v>
      </c>
      <c r="G55" s="85">
        <f>+G54+G49+G36+G20+G16</f>
        <v>33050765281.73</v>
      </c>
    </row>
    <row r="56" spans="1:7">
      <c r="B56" s="36"/>
      <c r="C56" s="65"/>
      <c r="D56" s="84"/>
      <c r="E56" s="84"/>
      <c r="F56" s="84"/>
      <c r="G56" s="84"/>
    </row>
    <row r="57" spans="1:7">
      <c r="A57" s="32"/>
      <c r="B57" s="39" t="s">
        <v>185</v>
      </c>
      <c r="C57" s="65"/>
      <c r="D57" s="84"/>
      <c r="E57" s="84"/>
      <c r="F57" s="84"/>
      <c r="G57" s="84"/>
    </row>
    <row r="58" spans="1:7">
      <c r="A58" s="28"/>
      <c r="B58" s="36"/>
      <c r="C58" s="65" t="s">
        <v>186</v>
      </c>
      <c r="D58" s="84">
        <v>248912041.84999999</v>
      </c>
      <c r="E58" s="84">
        <v>0</v>
      </c>
      <c r="F58" s="84">
        <v>0</v>
      </c>
      <c r="G58" s="84">
        <v>248912041.84999999</v>
      </c>
    </row>
    <row r="59" spans="1:7" s="40" customFormat="1">
      <c r="B59" s="38"/>
      <c r="C59" s="66" t="s">
        <v>187</v>
      </c>
      <c r="D59" s="85">
        <f>+D58</f>
        <v>248912041.84999999</v>
      </c>
      <c r="E59" s="85">
        <f t="shared" ref="E59:G59" si="2">+E58</f>
        <v>0</v>
      </c>
      <c r="F59" s="85">
        <f t="shared" si="2"/>
        <v>0</v>
      </c>
      <c r="G59" s="85">
        <f t="shared" si="2"/>
        <v>248912041.84999999</v>
      </c>
    </row>
    <row r="60" spans="1:7">
      <c r="A60" s="35"/>
      <c r="B60" s="36"/>
      <c r="C60" s="65" t="s">
        <v>188</v>
      </c>
      <c r="D60" s="84">
        <v>3130434133.1799998</v>
      </c>
      <c r="E60" s="84">
        <v>480791450.98000002</v>
      </c>
      <c r="F60" s="84">
        <v>0</v>
      </c>
      <c r="G60" s="84">
        <f>SUM(D60:F60)</f>
        <v>3611225584.1599998</v>
      </c>
    </row>
    <row r="61" spans="1:7">
      <c r="A61" s="33"/>
      <c r="B61" s="36"/>
      <c r="C61" s="65" t="s">
        <v>189</v>
      </c>
      <c r="D61" s="84">
        <v>58800059.260000005</v>
      </c>
      <c r="E61" s="84">
        <v>0</v>
      </c>
      <c r="F61" s="84">
        <v>0</v>
      </c>
      <c r="G61" s="84">
        <f t="shared" ref="G61:G88" si="3">SUM(D61:F61)</f>
        <v>58800059.260000005</v>
      </c>
    </row>
    <row r="62" spans="1:7">
      <c r="A62" s="33"/>
      <c r="B62" s="36"/>
      <c r="C62" s="65" t="s">
        <v>190</v>
      </c>
      <c r="D62" s="84">
        <v>2269982912.8200002</v>
      </c>
      <c r="E62" s="84">
        <v>0</v>
      </c>
      <c r="F62" s="84">
        <v>0</v>
      </c>
      <c r="G62" s="84">
        <f t="shared" si="3"/>
        <v>2269982912.8200002</v>
      </c>
    </row>
    <row r="63" spans="1:7">
      <c r="B63" s="36"/>
      <c r="C63" s="65" t="s">
        <v>191</v>
      </c>
      <c r="D63" s="84">
        <v>1085445940.78</v>
      </c>
      <c r="E63" s="84">
        <v>0</v>
      </c>
      <c r="F63" s="84">
        <v>0</v>
      </c>
      <c r="G63" s="84">
        <f t="shared" si="3"/>
        <v>1085445940.78</v>
      </c>
    </row>
    <row r="64" spans="1:7">
      <c r="B64" s="36"/>
      <c r="C64" s="65" t="s">
        <v>192</v>
      </c>
      <c r="D64" s="84">
        <v>2404419881.2399998</v>
      </c>
      <c r="E64" s="84">
        <v>0</v>
      </c>
      <c r="F64" s="84">
        <v>0</v>
      </c>
      <c r="G64" s="84">
        <f t="shared" si="3"/>
        <v>2404419881.2399998</v>
      </c>
    </row>
    <row r="65" spans="2:7">
      <c r="B65" s="36"/>
      <c r="C65" s="65" t="s">
        <v>193</v>
      </c>
      <c r="D65" s="84">
        <v>1639757833.0200002</v>
      </c>
      <c r="E65" s="84">
        <v>15468824.710000001</v>
      </c>
      <c r="F65" s="84">
        <v>0</v>
      </c>
      <c r="G65" s="84">
        <f t="shared" si="3"/>
        <v>1655226657.7300003</v>
      </c>
    </row>
    <row r="66" spans="2:7">
      <c r="B66" s="36"/>
      <c r="C66" s="65" t="s">
        <v>194</v>
      </c>
      <c r="D66" s="84">
        <v>320217465.51999998</v>
      </c>
      <c r="E66" s="84">
        <v>10775077108.510002</v>
      </c>
      <c r="F66" s="84">
        <v>0</v>
      </c>
      <c r="G66" s="84">
        <f t="shared" si="3"/>
        <v>11095294574.030003</v>
      </c>
    </row>
    <row r="67" spans="2:7">
      <c r="B67" s="36"/>
      <c r="C67" s="65" t="s">
        <v>195</v>
      </c>
      <c r="D67" s="84">
        <v>3514440515.2000003</v>
      </c>
      <c r="E67" s="84">
        <v>0</v>
      </c>
      <c r="F67" s="84">
        <v>0</v>
      </c>
      <c r="G67" s="84">
        <f t="shared" si="3"/>
        <v>3514440515.2000003</v>
      </c>
    </row>
    <row r="68" spans="2:7">
      <c r="B68" s="36"/>
      <c r="C68" s="65" t="s">
        <v>196</v>
      </c>
      <c r="D68" s="84">
        <v>327568451.76999998</v>
      </c>
      <c r="E68" s="84">
        <v>0</v>
      </c>
      <c r="F68" s="84">
        <v>0</v>
      </c>
      <c r="G68" s="84">
        <f t="shared" si="3"/>
        <v>327568451.76999998</v>
      </c>
    </row>
    <row r="69" spans="2:7">
      <c r="B69" s="36"/>
      <c r="C69" s="65" t="s">
        <v>197</v>
      </c>
      <c r="D69" s="84">
        <v>4826718.75</v>
      </c>
      <c r="E69" s="84">
        <v>0</v>
      </c>
      <c r="F69" s="84">
        <v>0</v>
      </c>
      <c r="G69" s="84">
        <f t="shared" si="3"/>
        <v>4826718.75</v>
      </c>
    </row>
    <row r="70" spans="2:7">
      <c r="B70" s="36"/>
      <c r="C70" s="65" t="s">
        <v>198</v>
      </c>
      <c r="D70" s="84">
        <v>4130792722.3899994</v>
      </c>
      <c r="E70" s="84">
        <v>0</v>
      </c>
      <c r="F70" s="84">
        <v>0</v>
      </c>
      <c r="G70" s="84">
        <f t="shared" si="3"/>
        <v>4130792722.3899994</v>
      </c>
    </row>
    <row r="71" spans="2:7">
      <c r="B71" s="36"/>
      <c r="C71" s="65" t="s">
        <v>199</v>
      </c>
      <c r="D71" s="84">
        <v>992998.83</v>
      </c>
      <c r="E71" s="84">
        <v>0</v>
      </c>
      <c r="F71" s="84">
        <v>0</v>
      </c>
      <c r="G71" s="84">
        <f t="shared" si="3"/>
        <v>992998.83</v>
      </c>
    </row>
    <row r="72" spans="2:7">
      <c r="B72" s="36"/>
      <c r="C72" s="65" t="s">
        <v>200</v>
      </c>
      <c r="D72" s="84">
        <v>29529071.030000009</v>
      </c>
      <c r="E72" s="84">
        <v>17672237.289999999</v>
      </c>
      <c r="F72" s="84">
        <v>0</v>
      </c>
      <c r="G72" s="84">
        <f t="shared" si="3"/>
        <v>47201308.320000008</v>
      </c>
    </row>
    <row r="73" spans="2:7" ht="27.6">
      <c r="B73" s="36"/>
      <c r="C73" s="65" t="s">
        <v>201</v>
      </c>
      <c r="D73" s="84">
        <v>173632430.21999997</v>
      </c>
      <c r="E73" s="84">
        <v>85250357.659999967</v>
      </c>
      <c r="F73" s="84">
        <v>0</v>
      </c>
      <c r="G73" s="84">
        <f t="shared" si="3"/>
        <v>258882787.87999994</v>
      </c>
    </row>
    <row r="74" spans="2:7">
      <c r="B74" s="36"/>
      <c r="C74" s="65" t="s">
        <v>202</v>
      </c>
      <c r="D74" s="84">
        <v>11653445.989999998</v>
      </c>
      <c r="E74" s="84">
        <v>7279629.1800000034</v>
      </c>
      <c r="F74" s="84">
        <v>0</v>
      </c>
      <c r="G74" s="84">
        <f t="shared" si="3"/>
        <v>18933075.170000002</v>
      </c>
    </row>
    <row r="75" spans="2:7">
      <c r="B75" s="36"/>
      <c r="C75" s="65" t="s">
        <v>203</v>
      </c>
      <c r="D75" s="84">
        <v>178184486.36000001</v>
      </c>
      <c r="E75" s="84">
        <v>0</v>
      </c>
      <c r="F75" s="84">
        <v>0</v>
      </c>
      <c r="G75" s="84">
        <f t="shared" si="3"/>
        <v>178184486.36000001</v>
      </c>
    </row>
    <row r="76" spans="2:7" ht="27.6">
      <c r="B76" s="36"/>
      <c r="C76" s="65" t="s">
        <v>204</v>
      </c>
      <c r="D76" s="84">
        <v>432596239.32999998</v>
      </c>
      <c r="E76" s="84">
        <v>0</v>
      </c>
      <c r="F76" s="84">
        <v>0</v>
      </c>
      <c r="G76" s="84">
        <f t="shared" si="3"/>
        <v>432596239.32999998</v>
      </c>
    </row>
    <row r="77" spans="2:7">
      <c r="B77" s="36"/>
      <c r="C77" s="65" t="s">
        <v>205</v>
      </c>
      <c r="D77" s="84">
        <v>2127225163.3599997</v>
      </c>
      <c r="E77" s="84">
        <v>918349.56</v>
      </c>
      <c r="F77" s="84">
        <v>0</v>
      </c>
      <c r="G77" s="84">
        <f t="shared" si="3"/>
        <v>2128143512.9199996</v>
      </c>
    </row>
    <row r="78" spans="2:7">
      <c r="B78" s="36"/>
      <c r="C78" s="65" t="s">
        <v>206</v>
      </c>
      <c r="D78" s="84">
        <v>6379684.2199999988</v>
      </c>
      <c r="E78" s="84">
        <v>30886010.810000002</v>
      </c>
      <c r="F78" s="84">
        <v>0</v>
      </c>
      <c r="G78" s="84">
        <f t="shared" si="3"/>
        <v>37265695.030000001</v>
      </c>
    </row>
    <row r="79" spans="2:7">
      <c r="B79" s="36"/>
      <c r="C79" s="65" t="s">
        <v>207</v>
      </c>
      <c r="D79" s="84">
        <v>173514684.29999998</v>
      </c>
      <c r="E79" s="84">
        <v>346224.3899999999</v>
      </c>
      <c r="F79" s="84">
        <v>0</v>
      </c>
      <c r="G79" s="84">
        <f t="shared" si="3"/>
        <v>173860908.68999997</v>
      </c>
    </row>
    <row r="80" spans="2:7">
      <c r="B80" s="36"/>
      <c r="C80" s="65" t="s">
        <v>208</v>
      </c>
      <c r="D80" s="84">
        <v>359516021.21000004</v>
      </c>
      <c r="E80" s="84">
        <v>2437509.96</v>
      </c>
      <c r="F80" s="84">
        <v>0</v>
      </c>
      <c r="G80" s="84">
        <f t="shared" si="3"/>
        <v>361953531.17000002</v>
      </c>
    </row>
    <row r="81" spans="1:7">
      <c r="B81" s="36"/>
      <c r="C81" s="65" t="s">
        <v>209</v>
      </c>
      <c r="D81" s="84">
        <v>10043936.07</v>
      </c>
      <c r="E81" s="84">
        <v>20873808.009999998</v>
      </c>
      <c r="F81" s="84">
        <v>0</v>
      </c>
      <c r="G81" s="84">
        <f t="shared" si="3"/>
        <v>30917744.079999998</v>
      </c>
    </row>
    <row r="82" spans="1:7">
      <c r="B82" s="36"/>
      <c r="C82" s="65" t="s">
        <v>210</v>
      </c>
      <c r="D82" s="84">
        <v>407933.22</v>
      </c>
      <c r="E82" s="84">
        <v>34745.83</v>
      </c>
      <c r="F82" s="84">
        <v>0</v>
      </c>
      <c r="G82" s="84">
        <f t="shared" si="3"/>
        <v>442679.05</v>
      </c>
    </row>
    <row r="83" spans="1:7" ht="27.6">
      <c r="B83" s="36"/>
      <c r="C83" s="65" t="s">
        <v>211</v>
      </c>
      <c r="D83" s="84">
        <v>49743517.700000003</v>
      </c>
      <c r="E83" s="84">
        <v>0</v>
      </c>
      <c r="F83" s="84">
        <v>0</v>
      </c>
      <c r="G83" s="84">
        <f t="shared" si="3"/>
        <v>49743517.700000003</v>
      </c>
    </row>
    <row r="84" spans="1:7" ht="27.6">
      <c r="B84" s="36"/>
      <c r="C84" s="65" t="s">
        <v>212</v>
      </c>
      <c r="D84" s="84">
        <v>2133272407.49</v>
      </c>
      <c r="E84" s="84">
        <v>3832300939.9299998</v>
      </c>
      <c r="F84" s="84">
        <v>0</v>
      </c>
      <c r="G84" s="84">
        <f t="shared" si="3"/>
        <v>5965573347.4200001</v>
      </c>
    </row>
    <row r="85" spans="1:7">
      <c r="B85" s="36"/>
      <c r="C85" s="65" t="s">
        <v>214</v>
      </c>
      <c r="D85" s="84">
        <v>24974000</v>
      </c>
      <c r="E85" s="84">
        <v>0</v>
      </c>
      <c r="F85" s="84">
        <v>0</v>
      </c>
      <c r="G85" s="84">
        <f t="shared" si="3"/>
        <v>24974000</v>
      </c>
    </row>
    <row r="86" spans="1:7">
      <c r="B86" s="36"/>
      <c r="C86" s="65" t="s">
        <v>213</v>
      </c>
      <c r="D86" s="84">
        <v>48589789.519999996</v>
      </c>
      <c r="E86" s="84">
        <v>187221154.46000001</v>
      </c>
      <c r="F86" s="84">
        <v>0</v>
      </c>
      <c r="G86" s="84">
        <f t="shared" si="3"/>
        <v>235810943.98000002</v>
      </c>
    </row>
    <row r="87" spans="1:7" s="26" customFormat="1" ht="27.6">
      <c r="B87" s="38"/>
      <c r="C87" s="66" t="s">
        <v>215</v>
      </c>
      <c r="D87" s="85">
        <f>SUM(D60:D86)</f>
        <v>24646942442.78001</v>
      </c>
      <c r="E87" s="85">
        <f t="shared" ref="E87:G87" si="4">SUM(E60:E86)</f>
        <v>15456558351.280001</v>
      </c>
      <c r="F87" s="85">
        <f t="shared" si="4"/>
        <v>0</v>
      </c>
      <c r="G87" s="85">
        <f t="shared" si="4"/>
        <v>40103500794.060005</v>
      </c>
    </row>
    <row r="88" spans="1:7">
      <c r="B88" s="36"/>
      <c r="C88" s="65" t="s">
        <v>216</v>
      </c>
      <c r="D88" s="84">
        <v>291223332</v>
      </c>
      <c r="E88" s="84">
        <v>0</v>
      </c>
      <c r="F88" s="84">
        <v>0</v>
      </c>
      <c r="G88" s="84">
        <f t="shared" si="3"/>
        <v>291223332</v>
      </c>
    </row>
    <row r="89" spans="1:7" s="26" customFormat="1">
      <c r="B89" s="38"/>
      <c r="C89" s="66" t="s">
        <v>217</v>
      </c>
      <c r="D89" s="85">
        <f>+D88</f>
        <v>291223332</v>
      </c>
      <c r="E89" s="85">
        <f>+E88</f>
        <v>0</v>
      </c>
      <c r="F89" s="85">
        <f>+F88</f>
        <v>0</v>
      </c>
      <c r="G89" s="85">
        <f>+G88</f>
        <v>291223332</v>
      </c>
    </row>
    <row r="90" spans="1:7" s="26" customFormat="1">
      <c r="B90" s="38" t="s">
        <v>218</v>
      </c>
      <c r="C90" s="66"/>
      <c r="D90" s="85">
        <f>+D59+D87+D89</f>
        <v>25187077816.630009</v>
      </c>
      <c r="E90" s="85">
        <f t="shared" ref="E90:G90" si="5">+E59+E87+E89</f>
        <v>15456558351.280001</v>
      </c>
      <c r="F90" s="85">
        <f t="shared" si="5"/>
        <v>0</v>
      </c>
      <c r="G90" s="85">
        <f t="shared" si="5"/>
        <v>40643636167.910004</v>
      </c>
    </row>
    <row r="91" spans="1:7" s="26" customFormat="1">
      <c r="B91" s="38"/>
      <c r="C91" s="66"/>
      <c r="D91" s="86"/>
      <c r="E91" s="86"/>
      <c r="F91" s="86"/>
      <c r="G91" s="86"/>
    </row>
    <row r="92" spans="1:7" s="26" customFormat="1">
      <c r="A92" s="38" t="s">
        <v>37</v>
      </c>
      <c r="C92" s="66"/>
      <c r="D92" s="91">
        <f>+D55+D90</f>
        <v>45185245031.600006</v>
      </c>
      <c r="E92" s="91">
        <f>+E55+E90</f>
        <v>24983414510.349998</v>
      </c>
      <c r="F92" s="91">
        <f>+F55+F90</f>
        <v>3525741907.6900001</v>
      </c>
      <c r="G92" s="91">
        <f>+G55+G90</f>
        <v>73694401449.639999</v>
      </c>
    </row>
    <row r="93" spans="1:7" s="26" customFormat="1">
      <c r="A93" s="38"/>
      <c r="C93" s="66"/>
      <c r="D93" s="87"/>
      <c r="E93" s="87"/>
      <c r="F93" s="87"/>
      <c r="G93" s="87"/>
    </row>
    <row r="94" spans="1:7">
      <c r="A94" s="26" t="s">
        <v>38</v>
      </c>
      <c r="B94" s="36"/>
      <c r="C94" s="70"/>
      <c r="D94" s="84"/>
      <c r="E94" s="84"/>
      <c r="F94" s="84"/>
      <c r="G94" s="84"/>
    </row>
    <row r="95" spans="1:7">
      <c r="B95" s="39" t="s">
        <v>39</v>
      </c>
      <c r="C95" s="65"/>
      <c r="D95" s="84"/>
      <c r="E95" s="84"/>
      <c r="F95" s="84"/>
      <c r="G95" s="84"/>
    </row>
    <row r="96" spans="1:7">
      <c r="B96" s="36"/>
      <c r="C96" s="65" t="s">
        <v>219</v>
      </c>
      <c r="D96" s="84">
        <v>4724971723.5600004</v>
      </c>
      <c r="E96" s="84">
        <v>324350345.48000002</v>
      </c>
      <c r="F96" s="84">
        <v>29092419.59</v>
      </c>
      <c r="G96" s="84">
        <f>SUM(D96:F96)</f>
        <v>5078414488.6300011</v>
      </c>
    </row>
    <row r="97" spans="2:7">
      <c r="B97" s="36"/>
      <c r="C97" s="65" t="s">
        <v>220</v>
      </c>
      <c r="D97" s="84">
        <v>138114138.66999999</v>
      </c>
      <c r="E97" s="84">
        <v>2768021.18</v>
      </c>
      <c r="F97" s="84">
        <v>224762126.34999999</v>
      </c>
      <c r="G97" s="84">
        <f>SUM(D97:F97)</f>
        <v>365644286.19999999</v>
      </c>
    </row>
    <row r="98" spans="2:7">
      <c r="B98" s="36"/>
      <c r="C98" s="65" t="s">
        <v>221</v>
      </c>
      <c r="D98" s="84">
        <v>16303255.68</v>
      </c>
      <c r="E98" s="84">
        <v>0</v>
      </c>
      <c r="F98" s="84">
        <v>0</v>
      </c>
      <c r="G98" s="84">
        <f>SUM(D98:F98)</f>
        <v>16303255.68</v>
      </c>
    </row>
    <row r="99" spans="2:7">
      <c r="B99" s="36"/>
      <c r="C99" s="65" t="s">
        <v>222</v>
      </c>
      <c r="D99" s="84">
        <v>5775.68</v>
      </c>
      <c r="E99" s="84">
        <v>0</v>
      </c>
      <c r="F99" s="84">
        <v>0</v>
      </c>
      <c r="G99" s="84">
        <f>SUM(D99:F99)</f>
        <v>5775.68</v>
      </c>
    </row>
    <row r="100" spans="2:7">
      <c r="B100" s="36"/>
      <c r="C100" s="65" t="s">
        <v>223</v>
      </c>
      <c r="D100" s="84">
        <v>277777777.75999999</v>
      </c>
      <c r="E100" s="84">
        <v>0</v>
      </c>
      <c r="F100" s="84">
        <v>0</v>
      </c>
      <c r="G100" s="84">
        <f>SUM(D100:F100)</f>
        <v>277777777.75999999</v>
      </c>
    </row>
    <row r="101" spans="2:7" s="26" customFormat="1">
      <c r="B101" s="38"/>
      <c r="C101" s="66" t="s">
        <v>224</v>
      </c>
      <c r="D101" s="85">
        <f>SUM(D96:D100)</f>
        <v>5157172671.3500013</v>
      </c>
      <c r="E101" s="85">
        <f>SUM(E96:E100)</f>
        <v>327118366.66000003</v>
      </c>
      <c r="F101" s="85">
        <f>SUM(F96:F100)</f>
        <v>253854545.94</v>
      </c>
      <c r="G101" s="85">
        <f>SUM(G96:G100)</f>
        <v>5738145583.9500017</v>
      </c>
    </row>
    <row r="102" spans="2:7">
      <c r="B102" s="36"/>
      <c r="C102" s="65" t="s">
        <v>225</v>
      </c>
      <c r="D102" s="84">
        <v>350298429.19</v>
      </c>
      <c r="E102" s="84">
        <v>48533530.689999998</v>
      </c>
      <c r="F102" s="84">
        <v>28361867.289999999</v>
      </c>
      <c r="G102" s="84">
        <f t="shared" ref="G102:G113" si="6">SUM(D102:F102)</f>
        <v>427193827.17000002</v>
      </c>
    </row>
    <row r="103" spans="2:7">
      <c r="B103" s="36"/>
      <c r="C103" s="65" t="s">
        <v>226</v>
      </c>
      <c r="D103" s="84">
        <v>67921778.670000002</v>
      </c>
      <c r="E103" s="84">
        <v>0</v>
      </c>
      <c r="F103" s="84">
        <v>0</v>
      </c>
      <c r="G103" s="84">
        <f t="shared" si="6"/>
        <v>67921778.670000002</v>
      </c>
    </row>
    <row r="104" spans="2:7">
      <c r="B104" s="36"/>
      <c r="C104" s="65" t="s">
        <v>227</v>
      </c>
      <c r="D104" s="84">
        <v>16991934.75</v>
      </c>
      <c r="E104" s="84">
        <v>18100</v>
      </c>
      <c r="F104" s="84">
        <v>44700</v>
      </c>
      <c r="G104" s="84">
        <f t="shared" si="6"/>
        <v>17054734.75</v>
      </c>
    </row>
    <row r="105" spans="2:7">
      <c r="B105" s="36"/>
      <c r="C105" s="65" t="s">
        <v>228</v>
      </c>
      <c r="D105" s="84">
        <v>36918298.509999998</v>
      </c>
      <c r="E105" s="84">
        <v>0</v>
      </c>
      <c r="F105" s="84">
        <v>4200</v>
      </c>
      <c r="G105" s="84">
        <f t="shared" si="6"/>
        <v>36922498.509999998</v>
      </c>
    </row>
    <row r="106" spans="2:7">
      <c r="B106" s="36"/>
      <c r="C106" s="65" t="s">
        <v>229</v>
      </c>
      <c r="D106" s="84">
        <v>3622598.43</v>
      </c>
      <c r="E106" s="84">
        <v>244.19</v>
      </c>
      <c r="F106" s="84">
        <v>479805014.81999999</v>
      </c>
      <c r="G106" s="84">
        <f t="shared" si="6"/>
        <v>483427857.44</v>
      </c>
    </row>
    <row r="107" spans="2:7">
      <c r="B107" s="36"/>
      <c r="C107" s="65" t="s">
        <v>230</v>
      </c>
      <c r="D107" s="84">
        <v>23426583.289999999</v>
      </c>
      <c r="E107" s="84">
        <v>0</v>
      </c>
      <c r="F107" s="84">
        <v>428725327.31</v>
      </c>
      <c r="G107" s="84">
        <f t="shared" si="6"/>
        <v>452151910.60000002</v>
      </c>
    </row>
    <row r="108" spans="2:7">
      <c r="B108" s="36"/>
      <c r="C108" s="65" t="s">
        <v>231</v>
      </c>
      <c r="D108" s="84">
        <v>177785325.84</v>
      </c>
      <c r="E108" s="84">
        <v>0</v>
      </c>
      <c r="F108" s="84">
        <v>521755592.42000002</v>
      </c>
      <c r="G108" s="84">
        <f t="shared" si="6"/>
        <v>699540918.25999999</v>
      </c>
    </row>
    <row r="109" spans="2:7" s="26" customFormat="1">
      <c r="B109" s="38"/>
      <c r="C109" s="66" t="s">
        <v>232</v>
      </c>
      <c r="D109" s="85">
        <f>SUM(D102:D108)</f>
        <v>676964948.68000007</v>
      </c>
      <c r="E109" s="85">
        <f>SUM(E102:E108)</f>
        <v>48551874.879999995</v>
      </c>
      <c r="F109" s="85">
        <f>SUM(F102:F108)</f>
        <v>1458696701.8400002</v>
      </c>
      <c r="G109" s="85">
        <f>SUM(G102:G108)</f>
        <v>2184213525.3999996</v>
      </c>
    </row>
    <row r="110" spans="2:7">
      <c r="B110" s="36"/>
      <c r="C110" s="65" t="s">
        <v>41</v>
      </c>
      <c r="D110" s="84">
        <v>17579267.559999999</v>
      </c>
      <c r="E110" s="84">
        <v>0</v>
      </c>
      <c r="F110" s="84">
        <v>463525389.55000001</v>
      </c>
      <c r="G110" s="84">
        <f t="shared" si="6"/>
        <v>481104657.11000001</v>
      </c>
    </row>
    <row r="111" spans="2:7" ht="27.6">
      <c r="B111" s="36"/>
      <c r="C111" s="65" t="s">
        <v>234</v>
      </c>
      <c r="D111" s="84">
        <v>0</v>
      </c>
      <c r="E111" s="84">
        <v>0</v>
      </c>
      <c r="F111" s="84">
        <v>829068072</v>
      </c>
      <c r="G111" s="84">
        <f t="shared" si="6"/>
        <v>829068072</v>
      </c>
    </row>
    <row r="112" spans="2:7">
      <c r="B112" s="36"/>
      <c r="C112" s="65" t="s">
        <v>235</v>
      </c>
      <c r="D112" s="84">
        <v>0</v>
      </c>
      <c r="E112" s="84">
        <v>0</v>
      </c>
      <c r="F112" s="84">
        <v>163029453.61000001</v>
      </c>
      <c r="G112" s="84">
        <f t="shared" si="6"/>
        <v>163029453.61000001</v>
      </c>
    </row>
    <row r="113" spans="1:7">
      <c r="B113" s="36"/>
      <c r="C113" s="65" t="s">
        <v>236</v>
      </c>
      <c r="D113" s="84">
        <v>70713347.950000003</v>
      </c>
      <c r="E113" s="84">
        <v>38049884.289999999</v>
      </c>
      <c r="F113" s="84">
        <v>13604707.210000001</v>
      </c>
      <c r="G113" s="84">
        <f t="shared" si="6"/>
        <v>122367939.45000002</v>
      </c>
    </row>
    <row r="114" spans="1:7" s="26" customFormat="1">
      <c r="B114" s="38"/>
      <c r="C114" s="66" t="s">
        <v>237</v>
      </c>
      <c r="D114" s="85">
        <f>SUM(D110:D113)</f>
        <v>88292615.510000005</v>
      </c>
      <c r="E114" s="85">
        <f>SUM(E110:E113)</f>
        <v>38049884.289999999</v>
      </c>
      <c r="F114" s="85">
        <f>SUM(F110:F113)</f>
        <v>1469227622.3699999</v>
      </c>
      <c r="G114" s="85">
        <f>SUM(G110:G113)</f>
        <v>1595570122.1700003</v>
      </c>
    </row>
    <row r="115" spans="1:7" s="26" customFormat="1">
      <c r="B115" s="38" t="s">
        <v>40</v>
      </c>
      <c r="C115" s="66"/>
      <c r="D115" s="85">
        <f>+D101+D109+D114</f>
        <v>5922430235.5400019</v>
      </c>
      <c r="E115" s="85">
        <f>+E101+E109+E114</f>
        <v>413720125.83000004</v>
      </c>
      <c r="F115" s="85">
        <f>+F101+F109+F114</f>
        <v>3181778870.1500001</v>
      </c>
      <c r="G115" s="85">
        <f>+G101+G109+G114</f>
        <v>9517929231.5200024</v>
      </c>
    </row>
    <row r="116" spans="1:7">
      <c r="B116" s="36"/>
      <c r="C116" s="65"/>
      <c r="D116" s="84"/>
      <c r="E116" s="84"/>
      <c r="F116" s="84"/>
      <c r="G116" s="84"/>
    </row>
    <row r="117" spans="1:7">
      <c r="B117" s="39" t="s">
        <v>233</v>
      </c>
      <c r="C117" s="65"/>
      <c r="D117" s="84"/>
      <c r="E117" s="84"/>
      <c r="F117" s="84"/>
      <c r="G117" s="84"/>
    </row>
    <row r="118" spans="1:7" ht="27.6">
      <c r="B118" s="36"/>
      <c r="C118" s="65" t="s">
        <v>241</v>
      </c>
      <c r="D118" s="84">
        <v>10164061991.99</v>
      </c>
      <c r="E118" s="84">
        <v>0</v>
      </c>
      <c r="F118" s="84">
        <v>0</v>
      </c>
      <c r="G118" s="84">
        <f t="shared" ref="G118" si="7">SUM(D118:F118)</f>
        <v>10164061991.99</v>
      </c>
    </row>
    <row r="119" spans="1:7" s="26" customFormat="1">
      <c r="B119" s="38"/>
      <c r="C119" s="66" t="s">
        <v>242</v>
      </c>
      <c r="D119" s="85">
        <f>+D118</f>
        <v>10164061991.99</v>
      </c>
      <c r="E119" s="85">
        <f t="shared" ref="E119:G119" si="8">+E118</f>
        <v>0</v>
      </c>
      <c r="F119" s="85">
        <f t="shared" si="8"/>
        <v>0</v>
      </c>
      <c r="G119" s="85">
        <f t="shared" si="8"/>
        <v>10164061991.99</v>
      </c>
    </row>
    <row r="120" spans="1:7">
      <c r="B120" s="36"/>
      <c r="C120" s="65" t="s">
        <v>238</v>
      </c>
      <c r="D120" s="84">
        <v>3085912625.6900001</v>
      </c>
      <c r="E120" s="84">
        <v>0</v>
      </c>
      <c r="F120" s="84">
        <v>0</v>
      </c>
      <c r="G120" s="84">
        <f>SUM(D120:F120)</f>
        <v>3085912625.6900001</v>
      </c>
    </row>
    <row r="121" spans="1:7">
      <c r="B121" s="36"/>
      <c r="C121" s="65" t="s">
        <v>239</v>
      </c>
      <c r="D121" s="84">
        <v>0</v>
      </c>
      <c r="E121" s="84">
        <v>1705201767.53</v>
      </c>
      <c r="F121" s="84">
        <v>0</v>
      </c>
      <c r="G121" s="84">
        <f t="shared" ref="G121:G122" si="9">SUM(D121:F121)</f>
        <v>1705201767.53</v>
      </c>
    </row>
    <row r="122" spans="1:7">
      <c r="B122" s="36"/>
      <c r="C122" s="65" t="s">
        <v>240</v>
      </c>
      <c r="D122" s="84">
        <v>1230643808.51</v>
      </c>
      <c r="E122" s="84">
        <v>9048.34</v>
      </c>
      <c r="F122" s="84">
        <v>4253630.43</v>
      </c>
      <c r="G122" s="84">
        <f t="shared" si="9"/>
        <v>1234906487.28</v>
      </c>
    </row>
    <row r="123" spans="1:7" s="26" customFormat="1">
      <c r="B123" s="38"/>
      <c r="C123" s="66" t="s">
        <v>374</v>
      </c>
      <c r="D123" s="85">
        <f>SUM(D120:D122)</f>
        <v>4316556434.1999998</v>
      </c>
      <c r="E123" s="85">
        <f>SUM(E120:E122)</f>
        <v>1705210815.8699999</v>
      </c>
      <c r="F123" s="85">
        <f>SUM(F120:F122)</f>
        <v>4253630.43</v>
      </c>
      <c r="G123" s="85">
        <f>SUM(G120:G122)</f>
        <v>6026020880.5</v>
      </c>
    </row>
    <row r="124" spans="1:7">
      <c r="B124" s="36"/>
      <c r="C124" s="65" t="s">
        <v>42</v>
      </c>
      <c r="D124" s="84">
        <v>449971043.19</v>
      </c>
      <c r="E124" s="84">
        <v>32834005.100000001</v>
      </c>
      <c r="F124" s="84">
        <v>574312567.57000005</v>
      </c>
      <c r="G124" s="84">
        <f t="shared" ref="G124" si="10">SUM(D124:F124)</f>
        <v>1057117615.8600001</v>
      </c>
    </row>
    <row r="125" spans="1:7" s="26" customFormat="1">
      <c r="B125" s="38"/>
      <c r="C125" s="66" t="s">
        <v>243</v>
      </c>
      <c r="D125" s="85">
        <f>+D124</f>
        <v>449971043.19</v>
      </c>
      <c r="E125" s="85">
        <f t="shared" ref="E125:G125" si="11">+E124</f>
        <v>32834005.100000001</v>
      </c>
      <c r="F125" s="85">
        <f t="shared" si="11"/>
        <v>574312567.57000005</v>
      </c>
      <c r="G125" s="85">
        <f t="shared" si="11"/>
        <v>1057117615.8600001</v>
      </c>
    </row>
    <row r="126" spans="1:7" s="26" customFormat="1">
      <c r="B126" s="38" t="s">
        <v>244</v>
      </c>
      <c r="C126" s="66"/>
      <c r="D126" s="85">
        <f>+D119+D123+D125</f>
        <v>14930589469.379999</v>
      </c>
      <c r="E126" s="85">
        <f>+E119+E123+E125</f>
        <v>1738044820.9699998</v>
      </c>
      <c r="F126" s="85">
        <f>+F119+F123+F125</f>
        <v>578566198</v>
      </c>
      <c r="G126" s="85">
        <f>+G119+G123+G125</f>
        <v>17247200488.349998</v>
      </c>
    </row>
    <row r="127" spans="1:7" s="26" customFormat="1">
      <c r="B127" s="38"/>
      <c r="C127" s="66"/>
      <c r="D127" s="86"/>
      <c r="E127" s="86"/>
      <c r="F127" s="86"/>
      <c r="G127" s="86"/>
    </row>
    <row r="128" spans="1:7" s="26" customFormat="1">
      <c r="A128" s="38" t="s">
        <v>43</v>
      </c>
      <c r="C128" s="66"/>
      <c r="D128" s="90">
        <f>+D115+D126</f>
        <v>20853019704.920002</v>
      </c>
      <c r="E128" s="90">
        <f>+E115+E126</f>
        <v>2151764946.7999997</v>
      </c>
      <c r="F128" s="90">
        <f>+F115+F126</f>
        <v>3760345068.1500001</v>
      </c>
      <c r="G128" s="90">
        <f>+G115+G126</f>
        <v>26765129719.870003</v>
      </c>
    </row>
    <row r="129" spans="1:7">
      <c r="B129" s="36"/>
      <c r="C129" s="65"/>
      <c r="D129" s="84"/>
      <c r="E129" s="84"/>
      <c r="F129" s="84"/>
      <c r="G129" s="84"/>
    </row>
    <row r="130" spans="1:7">
      <c r="B130" s="36"/>
      <c r="C130" s="70"/>
      <c r="D130" s="84"/>
      <c r="E130" s="84"/>
      <c r="F130" s="84"/>
      <c r="G130" s="84"/>
    </row>
    <row r="131" spans="1:7">
      <c r="A131" s="26" t="s">
        <v>44</v>
      </c>
      <c r="B131" s="36"/>
      <c r="C131" s="65"/>
      <c r="D131" s="84"/>
      <c r="E131" s="84"/>
      <c r="F131" s="84"/>
      <c r="G131" s="84"/>
    </row>
    <row r="132" spans="1:7">
      <c r="C132" s="65" t="s">
        <v>245</v>
      </c>
      <c r="D132" s="88">
        <v>22619795768.25</v>
      </c>
      <c r="E132" s="84">
        <v>21825490580.029999</v>
      </c>
      <c r="F132" s="84">
        <v>0</v>
      </c>
      <c r="G132" s="84">
        <f>SUM(D132:F132)</f>
        <v>44445286348.279999</v>
      </c>
    </row>
    <row r="133" spans="1:7">
      <c r="B133" s="36"/>
      <c r="C133" s="65" t="s">
        <v>246</v>
      </c>
      <c r="D133" s="84">
        <v>0</v>
      </c>
      <c r="E133" s="84">
        <v>0</v>
      </c>
      <c r="F133" s="84">
        <v>0</v>
      </c>
      <c r="G133" s="84">
        <f t="shared" ref="G133:G134" si="12">SUM(D133:F133)</f>
        <v>0</v>
      </c>
    </row>
    <row r="134" spans="1:7">
      <c r="B134" s="36"/>
      <c r="C134" s="65" t="s">
        <v>247</v>
      </c>
      <c r="D134" s="84">
        <f>'Annex B - SFPe'!C144</f>
        <v>1073524036.9400043</v>
      </c>
      <c r="E134" s="84">
        <f>'Annex B - SFPe'!D144</f>
        <v>1410461344.5499992</v>
      </c>
      <c r="F134" s="84">
        <v>0</v>
      </c>
      <c r="G134" s="84">
        <f t="shared" si="12"/>
        <v>2483985381.4900036</v>
      </c>
    </row>
    <row r="135" spans="1:7">
      <c r="C135" s="66" t="s">
        <v>250</v>
      </c>
      <c r="D135" s="85">
        <f>SUM(D132:D134)</f>
        <v>23693319805.190002</v>
      </c>
      <c r="E135" s="85">
        <f t="shared" ref="E135:G135" si="13">SUM(E132:E134)</f>
        <v>23235951924.579998</v>
      </c>
      <c r="F135" s="85">
        <f t="shared" si="13"/>
        <v>0</v>
      </c>
      <c r="G135" s="85">
        <f t="shared" si="13"/>
        <v>46929271729.770004</v>
      </c>
    </row>
    <row r="136" spans="1:7">
      <c r="C136" s="66"/>
      <c r="D136" s="86"/>
      <c r="E136" s="86"/>
      <c r="F136" s="86"/>
      <c r="G136" s="86"/>
    </row>
    <row r="137" spans="1:7">
      <c r="A137" s="38" t="s">
        <v>249</v>
      </c>
      <c r="B137" s="38"/>
      <c r="C137" s="65"/>
      <c r="D137" s="90">
        <f>+D128+D135</f>
        <v>44546339510.110001</v>
      </c>
      <c r="E137" s="90">
        <f>+E128+E135</f>
        <v>25387716871.379997</v>
      </c>
      <c r="F137" s="90">
        <f>+F128+F135</f>
        <v>3760345068.1500001</v>
      </c>
      <c r="G137" s="90">
        <f>+G128+G135</f>
        <v>73694401449.640015</v>
      </c>
    </row>
    <row r="138" spans="1:7">
      <c r="D138" s="89"/>
      <c r="E138" s="89"/>
      <c r="F138" s="89"/>
      <c r="G138" s="89"/>
    </row>
  </sheetData>
  <sheetProtection algorithmName="SHA-512" hashValue="l1nMGoiLcNM3oaVA4ppZVlvrsEunT+EnCEC1cr0Vl1TQxaaH5GGmDnhDiEU+3ci0rHhGLj6ZGko8WwAVgnZyAQ==" saltValue="riYsGLAdT0XLsij3PMuQGw==" spinCount="100000" sheet="1" objects="1" scenarios="1" selectLockedCells="1" selectUnlockedCells="1"/>
  <mergeCells count="4">
    <mergeCell ref="A2:G2"/>
    <mergeCell ref="A3:G3"/>
    <mergeCell ref="A5:G5"/>
    <mergeCell ref="A4:G4"/>
  </mergeCells>
  <pageMargins left="0.49" right="0.5" top="0.94" bottom="1" header="0.5" footer="0.5"/>
  <pageSetup scale="81" firstPageNumber="113" fitToHeight="0" orientation="portrait" useFirstPageNumber="1" r:id="rId1"/>
  <headerFooter scaleWithDoc="0"/>
  <rowBreaks count="2" manualBreakCount="2">
    <brk id="49" max="6" man="1"/>
    <brk id="92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44"/>
  <sheetViews>
    <sheetView showGridLines="0" zoomScaleNormal="100" zoomScaleSheetLayoutView="100" workbookViewId="0"/>
  </sheetViews>
  <sheetFormatPr defaultColWidth="11.44140625" defaultRowHeight="13.8"/>
  <cols>
    <col min="1" max="1" width="2.88671875" style="20" customWidth="1"/>
    <col min="2" max="2" width="53.88671875" style="51" bestFit="1" customWidth="1"/>
    <col min="3" max="3" width="19.21875" style="41" bestFit="1" customWidth="1"/>
    <col min="4" max="4" width="19.109375" style="41" bestFit="1" customWidth="1"/>
    <col min="5" max="5" width="19.21875" style="41" bestFit="1" customWidth="1"/>
    <col min="6" max="16384" width="11.44140625" style="20"/>
  </cols>
  <sheetData>
    <row r="1" spans="1:5">
      <c r="E1" s="93" t="s">
        <v>49</v>
      </c>
    </row>
    <row r="2" spans="1:5">
      <c r="A2" s="122" t="s">
        <v>25</v>
      </c>
      <c r="B2" s="122"/>
      <c r="C2" s="122"/>
      <c r="D2" s="122"/>
      <c r="E2" s="122"/>
    </row>
    <row r="3" spans="1:5">
      <c r="A3" s="122" t="s">
        <v>53</v>
      </c>
      <c r="B3" s="122"/>
      <c r="C3" s="122"/>
      <c r="D3" s="122"/>
      <c r="E3" s="122"/>
    </row>
    <row r="4" spans="1:5">
      <c r="A4" s="123" t="s">
        <v>382</v>
      </c>
      <c r="B4" s="123"/>
      <c r="C4" s="123"/>
      <c r="D4" s="123"/>
      <c r="E4" s="123"/>
    </row>
    <row r="5" spans="1:5">
      <c r="A5" s="123" t="s">
        <v>66</v>
      </c>
      <c r="B5" s="123"/>
      <c r="C5" s="123"/>
      <c r="D5" s="123"/>
      <c r="E5" s="123"/>
    </row>
    <row r="6" spans="1:5">
      <c r="B6" s="68"/>
      <c r="C6" s="46"/>
      <c r="D6" s="46"/>
      <c r="E6" s="46"/>
    </row>
    <row r="7" spans="1:5" s="24" customFormat="1" ht="27.6">
      <c r="A7" s="122"/>
      <c r="B7" s="122"/>
      <c r="C7" s="42" t="s">
        <v>0</v>
      </c>
      <c r="D7" s="45" t="s">
        <v>1</v>
      </c>
      <c r="E7" s="42" t="s">
        <v>3</v>
      </c>
    </row>
    <row r="8" spans="1:5">
      <c r="A8" s="106" t="s">
        <v>74</v>
      </c>
      <c r="B8" s="82"/>
      <c r="C8" s="37"/>
      <c r="D8" s="37"/>
      <c r="E8" s="50"/>
    </row>
    <row r="9" spans="1:5">
      <c r="A9" s="107"/>
      <c r="B9" s="82" t="s">
        <v>251</v>
      </c>
      <c r="C9" s="94">
        <v>6019190</v>
      </c>
      <c r="D9" s="94">
        <v>0</v>
      </c>
      <c r="E9" s="95">
        <f>SUM(C9:D9)</f>
        <v>6019190</v>
      </c>
    </row>
    <row r="10" spans="1:5">
      <c r="A10" s="107"/>
      <c r="B10" s="82" t="s">
        <v>252</v>
      </c>
      <c r="C10" s="94">
        <v>96360292.900000006</v>
      </c>
      <c r="D10" s="94">
        <v>0</v>
      </c>
      <c r="E10" s="95">
        <f t="shared" ref="E10:E22" si="0">SUM(C10:D10)</f>
        <v>96360292.900000006</v>
      </c>
    </row>
    <row r="11" spans="1:5">
      <c r="A11" s="107"/>
      <c r="B11" s="82" t="s">
        <v>253</v>
      </c>
      <c r="C11" s="94">
        <v>5729949911.7200003</v>
      </c>
      <c r="D11" s="94">
        <v>0</v>
      </c>
      <c r="E11" s="95">
        <f t="shared" si="0"/>
        <v>5729949911.7200003</v>
      </c>
    </row>
    <row r="12" spans="1:5" ht="14.4">
      <c r="A12" s="107"/>
      <c r="B12" s="108" t="s">
        <v>254</v>
      </c>
      <c r="C12" s="94">
        <v>-519489331.14999998</v>
      </c>
      <c r="D12" s="94">
        <v>0</v>
      </c>
      <c r="E12" s="95">
        <f t="shared" si="0"/>
        <v>-519489331.14999998</v>
      </c>
    </row>
    <row r="13" spans="1:5">
      <c r="A13" s="107"/>
      <c r="B13" s="82" t="s">
        <v>255</v>
      </c>
      <c r="C13" s="94">
        <v>0</v>
      </c>
      <c r="D13" s="94">
        <v>3516848505.4499998</v>
      </c>
      <c r="E13" s="95">
        <f t="shared" si="0"/>
        <v>3516848505.4499998</v>
      </c>
    </row>
    <row r="14" spans="1:5">
      <c r="A14" s="107"/>
      <c r="B14" s="82" t="s">
        <v>256</v>
      </c>
      <c r="C14" s="94">
        <v>0</v>
      </c>
      <c r="D14" s="94">
        <v>-409255380.81999999</v>
      </c>
      <c r="E14" s="95">
        <f t="shared" si="0"/>
        <v>-409255380.81999999</v>
      </c>
    </row>
    <row r="15" spans="1:5">
      <c r="A15" s="107"/>
      <c r="B15" s="82" t="s">
        <v>257</v>
      </c>
      <c r="C15" s="94">
        <v>409456134.87</v>
      </c>
      <c r="D15" s="94">
        <v>0</v>
      </c>
      <c r="E15" s="95">
        <f t="shared" si="0"/>
        <v>409456134.87</v>
      </c>
    </row>
    <row r="16" spans="1:5">
      <c r="A16" s="107"/>
      <c r="B16" s="82" t="s">
        <v>258</v>
      </c>
      <c r="C16" s="94">
        <v>3825942275.1900001</v>
      </c>
      <c r="D16" s="94">
        <v>0</v>
      </c>
      <c r="E16" s="95">
        <f t="shared" si="0"/>
        <v>3825942275.1900001</v>
      </c>
    </row>
    <row r="17" spans="1:5">
      <c r="A17" s="107"/>
      <c r="B17" s="82" t="s">
        <v>259</v>
      </c>
      <c r="C17" s="94">
        <v>9406819.8699999992</v>
      </c>
      <c r="D17" s="94">
        <v>0</v>
      </c>
      <c r="E17" s="95">
        <f t="shared" si="0"/>
        <v>9406819.8699999992</v>
      </c>
    </row>
    <row r="18" spans="1:5">
      <c r="A18" s="107"/>
      <c r="B18" s="82" t="s">
        <v>260</v>
      </c>
      <c r="C18" s="94">
        <v>157605603.83000001</v>
      </c>
      <c r="D18" s="94">
        <v>0</v>
      </c>
      <c r="E18" s="95">
        <f t="shared" si="0"/>
        <v>157605603.83000001</v>
      </c>
    </row>
    <row r="19" spans="1:5">
      <c r="A19" s="107"/>
      <c r="B19" s="82" t="s">
        <v>261</v>
      </c>
      <c r="C19" s="94">
        <v>14636424.08</v>
      </c>
      <c r="D19" s="94">
        <v>0</v>
      </c>
      <c r="E19" s="95">
        <f t="shared" si="0"/>
        <v>14636424.08</v>
      </c>
    </row>
    <row r="20" spans="1:5">
      <c r="A20" s="107"/>
      <c r="B20" s="82" t="s">
        <v>262</v>
      </c>
      <c r="C20" s="94">
        <v>643209.56000000006</v>
      </c>
      <c r="D20" s="94">
        <v>0</v>
      </c>
      <c r="E20" s="95">
        <f t="shared" si="0"/>
        <v>643209.56000000006</v>
      </c>
    </row>
    <row r="21" spans="1:5">
      <c r="A21" s="107"/>
      <c r="B21" s="82" t="s">
        <v>263</v>
      </c>
      <c r="C21" s="94">
        <v>133648232.25</v>
      </c>
      <c r="D21" s="94">
        <v>74690653.060000002</v>
      </c>
      <c r="E21" s="95">
        <f t="shared" si="0"/>
        <v>208338885.31</v>
      </c>
    </row>
    <row r="22" spans="1:5">
      <c r="A22" s="107"/>
      <c r="B22" s="82" t="s">
        <v>264</v>
      </c>
      <c r="C22" s="94">
        <v>4602952487</v>
      </c>
      <c r="D22" s="94">
        <v>0</v>
      </c>
      <c r="E22" s="95">
        <f t="shared" si="0"/>
        <v>4602952487</v>
      </c>
    </row>
    <row r="23" spans="1:5" s="26" customFormat="1">
      <c r="A23" s="102"/>
      <c r="B23" s="83" t="s">
        <v>84</v>
      </c>
      <c r="C23" s="96">
        <f>SUM(C9:C22)</f>
        <v>14467131250.120001</v>
      </c>
      <c r="D23" s="96">
        <f>SUM(D9:D22)</f>
        <v>3182283777.6899996</v>
      </c>
      <c r="E23" s="96">
        <f>SUM(E9:E22)</f>
        <v>17649415027.810001</v>
      </c>
    </row>
    <row r="24" spans="1:5">
      <c r="A24" s="107"/>
      <c r="B24" s="82" t="s">
        <v>265</v>
      </c>
      <c r="C24" s="94">
        <v>540573611.85000002</v>
      </c>
      <c r="D24" s="94">
        <v>0</v>
      </c>
      <c r="E24" s="95">
        <f>SUM(C24:D24)</f>
        <v>540573611.85000002</v>
      </c>
    </row>
    <row r="25" spans="1:5">
      <c r="A25" s="107"/>
      <c r="B25" s="82" t="s">
        <v>266</v>
      </c>
      <c r="C25" s="94">
        <v>13501419</v>
      </c>
      <c r="D25" s="94">
        <v>0</v>
      </c>
      <c r="E25" s="95">
        <f t="shared" ref="E25:E52" si="1">SUM(C25:D25)</f>
        <v>13501419</v>
      </c>
    </row>
    <row r="26" spans="1:5">
      <c r="A26" s="107"/>
      <c r="B26" s="82" t="s">
        <v>267</v>
      </c>
      <c r="C26" s="94">
        <v>16656428.699999999</v>
      </c>
      <c r="D26" s="94">
        <v>0</v>
      </c>
      <c r="E26" s="95">
        <f t="shared" si="1"/>
        <v>16656428.699999999</v>
      </c>
    </row>
    <row r="27" spans="1:5">
      <c r="A27" s="107"/>
      <c r="B27" s="82" t="s">
        <v>268</v>
      </c>
      <c r="C27" s="94">
        <v>72770441.319999993</v>
      </c>
      <c r="D27" s="94">
        <v>0</v>
      </c>
      <c r="E27" s="95">
        <f t="shared" si="1"/>
        <v>72770441.319999993</v>
      </c>
    </row>
    <row r="28" spans="1:5">
      <c r="A28" s="107"/>
      <c r="B28" s="82" t="s">
        <v>269</v>
      </c>
      <c r="C28" s="94">
        <v>61918089.109999999</v>
      </c>
      <c r="D28" s="94">
        <v>0</v>
      </c>
      <c r="E28" s="95">
        <f t="shared" si="1"/>
        <v>61918089.109999999</v>
      </c>
    </row>
    <row r="29" spans="1:5">
      <c r="A29" s="107"/>
      <c r="B29" s="82" t="s">
        <v>270</v>
      </c>
      <c r="C29" s="94">
        <v>35503586.32</v>
      </c>
      <c r="D29" s="94">
        <v>0</v>
      </c>
      <c r="E29" s="95">
        <f t="shared" si="1"/>
        <v>35503586.32</v>
      </c>
    </row>
    <row r="30" spans="1:5">
      <c r="A30" s="107"/>
      <c r="B30" s="82" t="s">
        <v>271</v>
      </c>
      <c r="C30" s="94">
        <v>31611731.170000002</v>
      </c>
      <c r="D30" s="94">
        <v>0</v>
      </c>
      <c r="E30" s="95">
        <f t="shared" si="1"/>
        <v>31611731.170000002</v>
      </c>
    </row>
    <row r="31" spans="1:5">
      <c r="A31" s="107"/>
      <c r="B31" s="82" t="s">
        <v>272</v>
      </c>
      <c r="C31" s="94">
        <v>1755255</v>
      </c>
      <c r="D31" s="94">
        <v>0</v>
      </c>
      <c r="E31" s="95">
        <f t="shared" si="1"/>
        <v>1755255</v>
      </c>
    </row>
    <row r="32" spans="1:5">
      <c r="A32" s="107"/>
      <c r="B32" s="82" t="s">
        <v>273</v>
      </c>
      <c r="C32" s="94">
        <v>305957.03000000003</v>
      </c>
      <c r="D32" s="94">
        <v>0</v>
      </c>
      <c r="E32" s="95">
        <f t="shared" si="1"/>
        <v>305957.03000000003</v>
      </c>
    </row>
    <row r="33" spans="1:5">
      <c r="A33" s="107"/>
      <c r="B33" s="82" t="s">
        <v>274</v>
      </c>
      <c r="C33" s="94">
        <v>50133.34</v>
      </c>
      <c r="D33" s="94">
        <v>0</v>
      </c>
      <c r="E33" s="95">
        <f t="shared" si="1"/>
        <v>50133.34</v>
      </c>
    </row>
    <row r="34" spans="1:5">
      <c r="A34" s="107"/>
      <c r="B34" s="82" t="s">
        <v>275</v>
      </c>
      <c r="C34" s="94">
        <v>500</v>
      </c>
      <c r="D34" s="94">
        <v>17566</v>
      </c>
      <c r="E34" s="95">
        <f t="shared" si="1"/>
        <v>18066</v>
      </c>
    </row>
    <row r="35" spans="1:5">
      <c r="A35" s="107"/>
      <c r="B35" s="82" t="s">
        <v>276</v>
      </c>
      <c r="C35" s="94">
        <v>590450</v>
      </c>
      <c r="D35" s="94">
        <v>0</v>
      </c>
      <c r="E35" s="95">
        <f t="shared" si="1"/>
        <v>590450</v>
      </c>
    </row>
    <row r="36" spans="1:5">
      <c r="A36" s="107"/>
      <c r="B36" s="82" t="s">
        <v>277</v>
      </c>
      <c r="C36" s="94">
        <v>30495424.890000001</v>
      </c>
      <c r="D36" s="94">
        <v>0</v>
      </c>
      <c r="E36" s="95">
        <f t="shared" si="1"/>
        <v>30495424.890000001</v>
      </c>
    </row>
    <row r="37" spans="1:5">
      <c r="A37" s="107"/>
      <c r="B37" s="82" t="s">
        <v>278</v>
      </c>
      <c r="C37" s="94">
        <v>4009070</v>
      </c>
      <c r="D37" s="94">
        <v>0</v>
      </c>
      <c r="E37" s="95">
        <f t="shared" si="1"/>
        <v>4009070</v>
      </c>
    </row>
    <row r="38" spans="1:5">
      <c r="A38" s="107"/>
      <c r="B38" s="82" t="s">
        <v>279</v>
      </c>
      <c r="C38" s="94">
        <v>101674708.56</v>
      </c>
      <c r="D38" s="94">
        <v>0</v>
      </c>
      <c r="E38" s="95">
        <f t="shared" si="1"/>
        <v>101674708.56</v>
      </c>
    </row>
    <row r="39" spans="1:5">
      <c r="A39" s="107"/>
      <c r="B39" s="82" t="s">
        <v>280</v>
      </c>
      <c r="C39" s="94">
        <v>78038425.269999996</v>
      </c>
      <c r="D39" s="94">
        <v>0</v>
      </c>
      <c r="E39" s="95">
        <f t="shared" si="1"/>
        <v>78038425.269999996</v>
      </c>
    </row>
    <row r="40" spans="1:5">
      <c r="A40" s="107"/>
      <c r="B40" s="82" t="s">
        <v>281</v>
      </c>
      <c r="C40" s="94">
        <v>31120989.620000001</v>
      </c>
      <c r="D40" s="94">
        <v>0</v>
      </c>
      <c r="E40" s="95">
        <f t="shared" si="1"/>
        <v>31120989.620000001</v>
      </c>
    </row>
    <row r="41" spans="1:5">
      <c r="A41" s="107"/>
      <c r="B41" s="82" t="s">
        <v>282</v>
      </c>
      <c r="C41" s="94">
        <v>17641237</v>
      </c>
      <c r="D41" s="94">
        <v>0</v>
      </c>
      <c r="E41" s="95">
        <f t="shared" si="1"/>
        <v>17641237</v>
      </c>
    </row>
    <row r="42" spans="1:5">
      <c r="A42" s="107"/>
      <c r="B42" s="82" t="s">
        <v>283</v>
      </c>
      <c r="C42" s="94">
        <v>171262.67</v>
      </c>
      <c r="D42" s="94">
        <v>0</v>
      </c>
      <c r="E42" s="95">
        <f t="shared" si="1"/>
        <v>171262.67</v>
      </c>
    </row>
    <row r="43" spans="1:5">
      <c r="A43" s="107"/>
      <c r="B43" s="82" t="s">
        <v>284</v>
      </c>
      <c r="C43" s="94">
        <v>140197946.09</v>
      </c>
      <c r="D43" s="94">
        <v>0</v>
      </c>
      <c r="E43" s="95">
        <f t="shared" si="1"/>
        <v>140197946.09</v>
      </c>
    </row>
    <row r="44" spans="1:5">
      <c r="A44" s="107"/>
      <c r="B44" s="82" t="s">
        <v>285</v>
      </c>
      <c r="C44" s="94">
        <v>382238430.24000001</v>
      </c>
      <c r="D44" s="94">
        <v>0</v>
      </c>
      <c r="E44" s="95">
        <f t="shared" si="1"/>
        <v>382238430.24000001</v>
      </c>
    </row>
    <row r="45" spans="1:5">
      <c r="A45" s="107"/>
      <c r="B45" s="82" t="s">
        <v>286</v>
      </c>
      <c r="C45" s="94">
        <v>21527436.940000001</v>
      </c>
      <c r="D45" s="94">
        <v>11204826.74</v>
      </c>
      <c r="E45" s="95">
        <f t="shared" si="1"/>
        <v>32732263.68</v>
      </c>
    </row>
    <row r="46" spans="1:5">
      <c r="A46" s="107"/>
      <c r="B46" s="82" t="s">
        <v>287</v>
      </c>
      <c r="C46" s="94">
        <v>43901155.93</v>
      </c>
      <c r="D46" s="94">
        <v>0</v>
      </c>
      <c r="E46" s="95">
        <f t="shared" si="1"/>
        <v>43901155.93</v>
      </c>
    </row>
    <row r="47" spans="1:5" s="26" customFormat="1">
      <c r="A47" s="102"/>
      <c r="B47" s="83" t="s">
        <v>288</v>
      </c>
      <c r="C47" s="96">
        <f>SUM(C24:C46)</f>
        <v>1626253690.0500002</v>
      </c>
      <c r="D47" s="96">
        <f>SUM(D24:D46)</f>
        <v>11222392.74</v>
      </c>
      <c r="E47" s="96">
        <f>SUM(E24:E46)</f>
        <v>1637476082.7900002</v>
      </c>
    </row>
    <row r="48" spans="1:5">
      <c r="A48" s="107"/>
      <c r="B48" s="82" t="s">
        <v>290</v>
      </c>
      <c r="C48" s="97">
        <v>217442602.38999999</v>
      </c>
      <c r="D48" s="97">
        <v>0</v>
      </c>
      <c r="E48" s="98">
        <f t="shared" si="1"/>
        <v>217442602.38999999</v>
      </c>
    </row>
    <row r="49" spans="1:5" s="26" customFormat="1">
      <c r="A49" s="102"/>
      <c r="B49" s="83" t="s">
        <v>291</v>
      </c>
      <c r="C49" s="96">
        <f>+C48</f>
        <v>217442602.38999999</v>
      </c>
      <c r="D49" s="96">
        <f>+D48</f>
        <v>0</v>
      </c>
      <c r="E49" s="96">
        <f>+E48</f>
        <v>217442602.38999999</v>
      </c>
    </row>
    <row r="50" spans="1:5">
      <c r="A50" s="107"/>
      <c r="B50" s="82" t="s">
        <v>292</v>
      </c>
      <c r="C50" s="97">
        <v>4921062.93</v>
      </c>
      <c r="D50" s="97">
        <v>0</v>
      </c>
      <c r="E50" s="98">
        <f t="shared" si="1"/>
        <v>4921062.93</v>
      </c>
    </row>
    <row r="51" spans="1:5" s="26" customFormat="1">
      <c r="A51" s="102"/>
      <c r="B51" s="83" t="s">
        <v>293</v>
      </c>
      <c r="C51" s="96">
        <f>+C50</f>
        <v>4921062.93</v>
      </c>
      <c r="D51" s="96">
        <f t="shared" ref="D51:E51" si="2">+D50</f>
        <v>0</v>
      </c>
      <c r="E51" s="96">
        <f t="shared" si="2"/>
        <v>4921062.93</v>
      </c>
    </row>
    <row r="52" spans="1:5">
      <c r="A52" s="107"/>
      <c r="B52" s="82" t="s">
        <v>29</v>
      </c>
      <c r="C52" s="97">
        <v>182297445.56999999</v>
      </c>
      <c r="D52" s="97">
        <v>0</v>
      </c>
      <c r="E52" s="98">
        <f t="shared" si="1"/>
        <v>182297445.56999999</v>
      </c>
    </row>
    <row r="53" spans="1:5" s="26" customFormat="1">
      <c r="A53" s="102"/>
      <c r="B53" s="83" t="s">
        <v>294</v>
      </c>
      <c r="C53" s="96">
        <f>+C52</f>
        <v>182297445.56999999</v>
      </c>
      <c r="D53" s="96">
        <f t="shared" ref="D53:E53" si="3">+D52</f>
        <v>0</v>
      </c>
      <c r="E53" s="96">
        <f t="shared" si="3"/>
        <v>182297445.56999999</v>
      </c>
    </row>
    <row r="54" spans="1:5">
      <c r="A54" s="109" t="s">
        <v>3</v>
      </c>
      <c r="B54" s="82"/>
      <c r="C54" s="96">
        <f>+C23+C47+C49+C51+C53</f>
        <v>16498046051.060001</v>
      </c>
      <c r="D54" s="96">
        <f>+D23+D47+D49+D51+D53</f>
        <v>3193506170.4299994</v>
      </c>
      <c r="E54" s="96">
        <f>+E23+E47+E49+E51+E53</f>
        <v>19691552221.490002</v>
      </c>
    </row>
    <row r="55" spans="1:5">
      <c r="A55" s="107"/>
      <c r="B55" s="82"/>
      <c r="C55" s="94"/>
      <c r="D55" s="94"/>
      <c r="E55" s="95"/>
    </row>
    <row r="56" spans="1:5">
      <c r="A56" s="109" t="s">
        <v>30</v>
      </c>
      <c r="B56" s="82"/>
      <c r="C56" s="94"/>
      <c r="D56" s="94"/>
      <c r="E56" s="95"/>
    </row>
    <row r="57" spans="1:5">
      <c r="A57" s="107"/>
      <c r="B57" s="82" t="s">
        <v>295</v>
      </c>
      <c r="C57" s="94">
        <v>3277409889.7399998</v>
      </c>
      <c r="D57" s="94">
        <v>0</v>
      </c>
      <c r="E57" s="95">
        <f>SUM(C57:D57)</f>
        <v>3277409889.7399998</v>
      </c>
    </row>
    <row r="58" spans="1:5">
      <c r="A58" s="107"/>
      <c r="B58" s="82" t="s">
        <v>296</v>
      </c>
      <c r="C58" s="94">
        <v>853177.55</v>
      </c>
      <c r="D58" s="94">
        <v>0</v>
      </c>
      <c r="E58" s="95">
        <f t="shared" ref="E58:E78" si="4">SUM(C58:D58)</f>
        <v>853177.55</v>
      </c>
    </row>
    <row r="59" spans="1:5">
      <c r="A59" s="107"/>
      <c r="B59" s="82" t="s">
        <v>297</v>
      </c>
      <c r="C59" s="94">
        <v>216426499.12</v>
      </c>
      <c r="D59" s="94">
        <v>0</v>
      </c>
      <c r="E59" s="95">
        <f t="shared" si="4"/>
        <v>216426499.12</v>
      </c>
    </row>
    <row r="60" spans="1:5">
      <c r="A60" s="107"/>
      <c r="B60" s="82" t="s">
        <v>298</v>
      </c>
      <c r="C60" s="94">
        <v>24902001.379999999</v>
      </c>
      <c r="D60" s="94">
        <v>0</v>
      </c>
      <c r="E60" s="95">
        <f t="shared" si="4"/>
        <v>24902001.379999999</v>
      </c>
    </row>
    <row r="61" spans="1:5">
      <c r="A61" s="107"/>
      <c r="B61" s="82" t="s">
        <v>299</v>
      </c>
      <c r="C61" s="94">
        <v>24044266.57</v>
      </c>
      <c r="D61" s="94">
        <v>0</v>
      </c>
      <c r="E61" s="95">
        <f t="shared" si="4"/>
        <v>24044266.57</v>
      </c>
    </row>
    <row r="62" spans="1:5">
      <c r="A62" s="107"/>
      <c r="B62" s="82" t="s">
        <v>300</v>
      </c>
      <c r="C62" s="94">
        <v>54552000</v>
      </c>
      <c r="D62" s="94">
        <v>0</v>
      </c>
      <c r="E62" s="95">
        <f t="shared" si="4"/>
        <v>54552000</v>
      </c>
    </row>
    <row r="63" spans="1:5">
      <c r="A63" s="107"/>
      <c r="B63" s="82" t="s">
        <v>301</v>
      </c>
      <c r="C63" s="94">
        <v>23666430</v>
      </c>
      <c r="D63" s="94">
        <v>0</v>
      </c>
      <c r="E63" s="95">
        <f t="shared" si="4"/>
        <v>23666430</v>
      </c>
    </row>
    <row r="64" spans="1:5">
      <c r="A64" s="107"/>
      <c r="B64" s="82" t="s">
        <v>302</v>
      </c>
      <c r="C64" s="94">
        <v>5232157.6500000004</v>
      </c>
      <c r="D64" s="94">
        <v>0</v>
      </c>
      <c r="E64" s="95">
        <f t="shared" si="4"/>
        <v>5232157.6500000004</v>
      </c>
    </row>
    <row r="65" spans="1:5">
      <c r="A65" s="107"/>
      <c r="B65" s="82" t="s">
        <v>303</v>
      </c>
      <c r="C65" s="94">
        <v>44992000</v>
      </c>
      <c r="D65" s="94">
        <v>0</v>
      </c>
      <c r="E65" s="95">
        <f t="shared" si="4"/>
        <v>44992000</v>
      </c>
    </row>
    <row r="66" spans="1:5">
      <c r="A66" s="107"/>
      <c r="B66" s="82" t="s">
        <v>304</v>
      </c>
      <c r="C66" s="94">
        <v>9518388.3000000007</v>
      </c>
      <c r="D66" s="94">
        <v>0</v>
      </c>
      <c r="E66" s="95">
        <f t="shared" si="4"/>
        <v>9518388.3000000007</v>
      </c>
    </row>
    <row r="67" spans="1:5">
      <c r="A67" s="107"/>
      <c r="B67" s="82" t="s">
        <v>305</v>
      </c>
      <c r="C67" s="94">
        <v>105112185.45</v>
      </c>
      <c r="D67" s="94">
        <v>0</v>
      </c>
      <c r="E67" s="95">
        <f t="shared" si="4"/>
        <v>105112185.45</v>
      </c>
    </row>
    <row r="68" spans="1:5">
      <c r="A68" s="107"/>
      <c r="B68" s="82" t="s">
        <v>306</v>
      </c>
      <c r="C68" s="94">
        <v>6613030.3099999996</v>
      </c>
      <c r="D68" s="94">
        <v>0</v>
      </c>
      <c r="E68" s="95">
        <f t="shared" si="4"/>
        <v>6613030.3099999996</v>
      </c>
    </row>
    <row r="69" spans="1:5">
      <c r="A69" s="107"/>
      <c r="B69" s="82" t="s">
        <v>307</v>
      </c>
      <c r="C69" s="94">
        <v>45517136.75</v>
      </c>
      <c r="D69" s="94">
        <v>0</v>
      </c>
      <c r="E69" s="95">
        <f t="shared" si="4"/>
        <v>45517136.75</v>
      </c>
    </row>
    <row r="70" spans="1:5">
      <c r="A70" s="107"/>
      <c r="B70" s="82" t="s">
        <v>308</v>
      </c>
      <c r="C70" s="94">
        <v>549946031.54999995</v>
      </c>
      <c r="D70" s="94">
        <v>0</v>
      </c>
      <c r="E70" s="95">
        <f t="shared" si="4"/>
        <v>549946031.54999995</v>
      </c>
    </row>
    <row r="71" spans="1:5">
      <c r="A71" s="107"/>
      <c r="B71" s="82" t="s">
        <v>309</v>
      </c>
      <c r="C71" s="94">
        <v>44577250</v>
      </c>
      <c r="D71" s="94">
        <v>0</v>
      </c>
      <c r="E71" s="95">
        <f t="shared" si="4"/>
        <v>44577250</v>
      </c>
    </row>
    <row r="72" spans="1:5">
      <c r="A72" s="107"/>
      <c r="B72" s="82" t="s">
        <v>310</v>
      </c>
      <c r="C72" s="94">
        <v>3381600</v>
      </c>
      <c r="D72" s="94">
        <v>0</v>
      </c>
      <c r="E72" s="95">
        <f t="shared" si="4"/>
        <v>3381600</v>
      </c>
    </row>
    <row r="73" spans="1:5">
      <c r="A73" s="107"/>
      <c r="B73" s="82" t="s">
        <v>311</v>
      </c>
      <c r="C73" s="94">
        <v>389807777.27999997</v>
      </c>
      <c r="D73" s="94">
        <v>0</v>
      </c>
      <c r="E73" s="95">
        <f t="shared" si="4"/>
        <v>389807777.27999997</v>
      </c>
    </row>
    <row r="74" spans="1:5">
      <c r="A74" s="107"/>
      <c r="B74" s="82" t="s">
        <v>312</v>
      </c>
      <c r="C74" s="94">
        <v>11046222.310000001</v>
      </c>
      <c r="D74" s="94">
        <v>0</v>
      </c>
      <c r="E74" s="95">
        <f t="shared" si="4"/>
        <v>11046222.310000001</v>
      </c>
    </row>
    <row r="75" spans="1:5">
      <c r="A75" s="107"/>
      <c r="B75" s="82" t="s">
        <v>313</v>
      </c>
      <c r="C75" s="94">
        <v>61744028.780000001</v>
      </c>
      <c r="D75" s="94">
        <v>0</v>
      </c>
      <c r="E75" s="95">
        <f t="shared" si="4"/>
        <v>61744028.780000001</v>
      </c>
    </row>
    <row r="76" spans="1:5">
      <c r="A76" s="107"/>
      <c r="B76" s="82" t="s">
        <v>314</v>
      </c>
      <c r="C76" s="94">
        <v>10873526.189999999</v>
      </c>
      <c r="D76" s="94">
        <v>0</v>
      </c>
      <c r="E76" s="95">
        <f t="shared" si="4"/>
        <v>10873526.189999999</v>
      </c>
    </row>
    <row r="77" spans="1:5">
      <c r="A77" s="107"/>
      <c r="B77" s="82" t="s">
        <v>315</v>
      </c>
      <c r="C77" s="94">
        <v>174495899.36000001</v>
      </c>
      <c r="D77" s="94">
        <v>0</v>
      </c>
      <c r="E77" s="95">
        <f t="shared" si="4"/>
        <v>174495899.36000001</v>
      </c>
    </row>
    <row r="78" spans="1:5">
      <c r="A78" s="107"/>
      <c r="B78" s="82" t="s">
        <v>316</v>
      </c>
      <c r="C78" s="94">
        <v>90480000</v>
      </c>
      <c r="D78" s="94">
        <v>0</v>
      </c>
      <c r="E78" s="95">
        <f t="shared" si="4"/>
        <v>90480000</v>
      </c>
    </row>
    <row r="79" spans="1:5" s="26" customFormat="1">
      <c r="A79" s="102"/>
      <c r="B79" s="83" t="s">
        <v>317</v>
      </c>
      <c r="C79" s="96">
        <f>SUM(C57:C78)</f>
        <v>5175191498.289999</v>
      </c>
      <c r="D79" s="96">
        <f>SUM(D57:D78)</f>
        <v>0</v>
      </c>
      <c r="E79" s="96">
        <f>SUM(E57:E78)</f>
        <v>5175191498.289999</v>
      </c>
    </row>
    <row r="80" spans="1:5">
      <c r="A80" s="107"/>
      <c r="B80" s="82" t="s">
        <v>318</v>
      </c>
      <c r="C80" s="94">
        <v>6323001.2800000003</v>
      </c>
      <c r="D80" s="94">
        <v>397200</v>
      </c>
      <c r="E80" s="95">
        <f>SUM(C80:D80)</f>
        <v>6720201.2800000003</v>
      </c>
    </row>
    <row r="81" spans="1:5">
      <c r="A81" s="107"/>
      <c r="B81" s="82" t="s">
        <v>319</v>
      </c>
      <c r="C81" s="94">
        <v>64419.34</v>
      </c>
      <c r="D81" s="94">
        <v>0</v>
      </c>
      <c r="E81" s="95">
        <f t="shared" ref="E81:E134" si="5">SUM(C81:D81)</f>
        <v>64419.34</v>
      </c>
    </row>
    <row r="82" spans="1:5">
      <c r="A82" s="107"/>
      <c r="B82" s="82" t="s">
        <v>320</v>
      </c>
      <c r="C82" s="94">
        <v>10785026.5</v>
      </c>
      <c r="D82" s="94">
        <v>207837</v>
      </c>
      <c r="E82" s="95">
        <f t="shared" si="5"/>
        <v>10992863.5</v>
      </c>
    </row>
    <row r="83" spans="1:5">
      <c r="A83" s="107"/>
      <c r="B83" s="82" t="s">
        <v>321</v>
      </c>
      <c r="C83" s="94">
        <v>23414280.210000001</v>
      </c>
      <c r="D83" s="94">
        <v>40899758</v>
      </c>
      <c r="E83" s="95">
        <f t="shared" si="5"/>
        <v>64314038.210000001</v>
      </c>
    </row>
    <row r="84" spans="1:5">
      <c r="A84" s="107"/>
      <c r="B84" s="82" t="s">
        <v>322</v>
      </c>
      <c r="C84" s="94">
        <v>1986565.68</v>
      </c>
      <c r="D84" s="94">
        <v>0</v>
      </c>
      <c r="E84" s="95">
        <f t="shared" si="5"/>
        <v>1986565.68</v>
      </c>
    </row>
    <row r="85" spans="1:5">
      <c r="A85" s="107"/>
      <c r="B85" s="82" t="s">
        <v>323</v>
      </c>
      <c r="C85" s="94">
        <v>48108</v>
      </c>
      <c r="D85" s="94">
        <v>0</v>
      </c>
      <c r="E85" s="95">
        <f t="shared" si="5"/>
        <v>48108</v>
      </c>
    </row>
    <row r="86" spans="1:5">
      <c r="A86" s="107"/>
      <c r="B86" s="82" t="s">
        <v>324</v>
      </c>
      <c r="C86" s="94">
        <v>13119328.9</v>
      </c>
      <c r="D86" s="94">
        <v>0</v>
      </c>
      <c r="E86" s="95">
        <f t="shared" si="5"/>
        <v>13119328.9</v>
      </c>
    </row>
    <row r="87" spans="1:5">
      <c r="A87" s="107"/>
      <c r="B87" s="82" t="s">
        <v>325</v>
      </c>
      <c r="C87" s="94">
        <v>58156549.609999999</v>
      </c>
      <c r="D87" s="94">
        <v>0</v>
      </c>
      <c r="E87" s="95">
        <f t="shared" si="5"/>
        <v>58156549.609999999</v>
      </c>
    </row>
    <row r="88" spans="1:5">
      <c r="A88" s="107"/>
      <c r="B88" s="82" t="s">
        <v>326</v>
      </c>
      <c r="C88" s="94">
        <v>1334497000</v>
      </c>
      <c r="D88" s="94">
        <v>0</v>
      </c>
      <c r="E88" s="95">
        <f t="shared" si="5"/>
        <v>1334497000</v>
      </c>
    </row>
    <row r="89" spans="1:5">
      <c r="A89" s="107"/>
      <c r="B89" s="82" t="s">
        <v>327</v>
      </c>
      <c r="C89" s="94">
        <v>516522268.93000001</v>
      </c>
      <c r="D89" s="94">
        <v>0</v>
      </c>
      <c r="E89" s="95">
        <f t="shared" si="5"/>
        <v>516522268.93000001</v>
      </c>
    </row>
    <row r="90" spans="1:5">
      <c r="A90" s="107"/>
      <c r="B90" s="82" t="s">
        <v>328</v>
      </c>
      <c r="C90" s="94">
        <v>562613648.89999998</v>
      </c>
      <c r="D90" s="94">
        <v>0</v>
      </c>
      <c r="E90" s="95">
        <f t="shared" si="5"/>
        <v>562613648.89999998</v>
      </c>
    </row>
    <row r="91" spans="1:5">
      <c r="A91" s="107"/>
      <c r="B91" s="82" t="s">
        <v>329</v>
      </c>
      <c r="C91" s="94">
        <v>23741904.09</v>
      </c>
      <c r="D91" s="94">
        <v>0</v>
      </c>
      <c r="E91" s="95">
        <f t="shared" si="5"/>
        <v>23741904.09</v>
      </c>
    </row>
    <row r="92" spans="1:5">
      <c r="A92" s="107"/>
      <c r="B92" s="82" t="s">
        <v>330</v>
      </c>
      <c r="C92" s="94">
        <v>0</v>
      </c>
      <c r="D92" s="94">
        <v>61783489.149999999</v>
      </c>
      <c r="E92" s="95">
        <f t="shared" si="5"/>
        <v>61783489.149999999</v>
      </c>
    </row>
    <row r="93" spans="1:5">
      <c r="A93" s="107"/>
      <c r="B93" s="82" t="s">
        <v>331</v>
      </c>
      <c r="C93" s="94">
        <v>81411649.689999998</v>
      </c>
      <c r="D93" s="94">
        <v>778150079.22000003</v>
      </c>
      <c r="E93" s="95">
        <f t="shared" si="5"/>
        <v>859561728.91000009</v>
      </c>
    </row>
    <row r="94" spans="1:5">
      <c r="A94" s="107"/>
      <c r="B94" s="82" t="s">
        <v>332</v>
      </c>
      <c r="C94" s="94">
        <v>89613735.579999998</v>
      </c>
      <c r="D94" s="94">
        <v>103255609.14</v>
      </c>
      <c r="E94" s="95">
        <f t="shared" si="5"/>
        <v>192869344.72</v>
      </c>
    </row>
    <row r="95" spans="1:5">
      <c r="A95" s="107"/>
      <c r="B95" s="82" t="s">
        <v>333</v>
      </c>
      <c r="C95" s="94">
        <v>210022963.31</v>
      </c>
      <c r="D95" s="94">
        <v>124462875.36</v>
      </c>
      <c r="E95" s="95">
        <f t="shared" si="5"/>
        <v>334485838.67000002</v>
      </c>
    </row>
    <row r="96" spans="1:5">
      <c r="A96" s="107"/>
      <c r="B96" s="82" t="s">
        <v>334</v>
      </c>
      <c r="C96" s="94">
        <v>38045</v>
      </c>
      <c r="D96" s="94">
        <v>0</v>
      </c>
      <c r="E96" s="95">
        <f t="shared" si="5"/>
        <v>38045</v>
      </c>
    </row>
    <row r="97" spans="1:5">
      <c r="A97" s="107"/>
      <c r="B97" s="82" t="s">
        <v>335</v>
      </c>
      <c r="C97" s="94">
        <v>11260420.41</v>
      </c>
      <c r="D97" s="94">
        <v>0</v>
      </c>
      <c r="E97" s="95">
        <f t="shared" si="5"/>
        <v>11260420.41</v>
      </c>
    </row>
    <row r="98" spans="1:5">
      <c r="A98" s="107"/>
      <c r="B98" s="82" t="s">
        <v>336</v>
      </c>
      <c r="C98" s="94">
        <v>17328968.390000001</v>
      </c>
      <c r="D98" s="94">
        <v>0</v>
      </c>
      <c r="E98" s="95">
        <f t="shared" si="5"/>
        <v>17328968.390000001</v>
      </c>
    </row>
    <row r="99" spans="1:5">
      <c r="A99" s="107"/>
      <c r="B99" s="82" t="s">
        <v>337</v>
      </c>
      <c r="C99" s="94">
        <v>3995000</v>
      </c>
      <c r="D99" s="94">
        <v>0</v>
      </c>
      <c r="E99" s="95">
        <f t="shared" si="5"/>
        <v>3995000</v>
      </c>
    </row>
    <row r="100" spans="1:5">
      <c r="A100" s="107"/>
      <c r="B100" s="82" t="s">
        <v>338</v>
      </c>
      <c r="C100" s="94">
        <v>1010000</v>
      </c>
      <c r="D100" s="94">
        <v>0</v>
      </c>
      <c r="E100" s="95">
        <f t="shared" si="5"/>
        <v>1010000</v>
      </c>
    </row>
    <row r="101" spans="1:5">
      <c r="A101" s="107"/>
      <c r="B101" s="82" t="s">
        <v>339</v>
      </c>
      <c r="C101" s="94">
        <v>120000</v>
      </c>
      <c r="D101" s="94">
        <v>0</v>
      </c>
      <c r="E101" s="95">
        <f t="shared" si="5"/>
        <v>120000</v>
      </c>
    </row>
    <row r="102" spans="1:5">
      <c r="A102" s="107"/>
      <c r="B102" s="82" t="s">
        <v>340</v>
      </c>
      <c r="C102" s="94">
        <v>120000000</v>
      </c>
      <c r="D102" s="94">
        <v>0</v>
      </c>
      <c r="E102" s="95">
        <f t="shared" si="5"/>
        <v>120000000</v>
      </c>
    </row>
    <row r="103" spans="1:5">
      <c r="A103" s="107"/>
      <c r="B103" s="82" t="s">
        <v>341</v>
      </c>
      <c r="C103" s="94">
        <v>47382472.899999999</v>
      </c>
      <c r="D103" s="94">
        <v>0</v>
      </c>
      <c r="E103" s="95">
        <f t="shared" si="5"/>
        <v>47382472.899999999</v>
      </c>
    </row>
    <row r="104" spans="1:5">
      <c r="A104" s="107"/>
      <c r="B104" s="82" t="s">
        <v>342</v>
      </c>
      <c r="C104" s="94">
        <v>1738072.19</v>
      </c>
      <c r="D104" s="94">
        <v>0</v>
      </c>
      <c r="E104" s="95">
        <f t="shared" si="5"/>
        <v>1738072.19</v>
      </c>
    </row>
    <row r="105" spans="1:5">
      <c r="A105" s="107"/>
      <c r="B105" s="82" t="s">
        <v>343</v>
      </c>
      <c r="C105" s="94">
        <v>48573909.049999997</v>
      </c>
      <c r="D105" s="94">
        <v>0</v>
      </c>
      <c r="E105" s="95">
        <f t="shared" si="5"/>
        <v>48573909.049999997</v>
      </c>
    </row>
    <row r="106" spans="1:5">
      <c r="A106" s="107"/>
      <c r="B106" s="82" t="s">
        <v>344</v>
      </c>
      <c r="C106" s="94">
        <v>353427148.26999998</v>
      </c>
      <c r="D106" s="94">
        <v>0</v>
      </c>
      <c r="E106" s="95">
        <f t="shared" si="5"/>
        <v>353427148.26999998</v>
      </c>
    </row>
    <row r="107" spans="1:5">
      <c r="A107" s="107"/>
      <c r="B107" s="82" t="s">
        <v>345</v>
      </c>
      <c r="C107" s="94">
        <v>954989427.32000005</v>
      </c>
      <c r="D107" s="94">
        <v>0</v>
      </c>
      <c r="E107" s="95">
        <f t="shared" si="5"/>
        <v>954989427.32000005</v>
      </c>
    </row>
    <row r="108" spans="1:5">
      <c r="A108" s="107"/>
      <c r="B108" s="82" t="s">
        <v>346</v>
      </c>
      <c r="C108" s="94">
        <v>114652619.94</v>
      </c>
      <c r="D108" s="94">
        <v>0</v>
      </c>
      <c r="E108" s="95">
        <f t="shared" si="5"/>
        <v>114652619.94</v>
      </c>
    </row>
    <row r="109" spans="1:5">
      <c r="A109" s="107"/>
      <c r="B109" s="82" t="s">
        <v>347</v>
      </c>
      <c r="C109" s="94">
        <v>80266026.939999998</v>
      </c>
      <c r="D109" s="94">
        <v>0</v>
      </c>
      <c r="E109" s="95">
        <f t="shared" si="5"/>
        <v>80266026.939999998</v>
      </c>
    </row>
    <row r="110" spans="1:5">
      <c r="A110" s="107"/>
      <c r="B110" s="82" t="s">
        <v>348</v>
      </c>
      <c r="C110" s="94">
        <v>971239468.45000005</v>
      </c>
      <c r="D110" s="94">
        <v>27375451.93</v>
      </c>
      <c r="E110" s="95">
        <f t="shared" si="5"/>
        <v>998614920.38</v>
      </c>
    </row>
    <row r="111" spans="1:5">
      <c r="A111" s="107"/>
      <c r="B111" s="82" t="s">
        <v>349</v>
      </c>
      <c r="C111" s="94">
        <v>162334368.44999999</v>
      </c>
      <c r="D111" s="94">
        <v>0</v>
      </c>
      <c r="E111" s="95">
        <f t="shared" si="5"/>
        <v>162334368.44999999</v>
      </c>
    </row>
    <row r="112" spans="1:5">
      <c r="A112" s="107"/>
      <c r="B112" s="82" t="s">
        <v>350</v>
      </c>
      <c r="C112" s="94">
        <v>13865365.779999999</v>
      </c>
      <c r="D112" s="94">
        <v>0</v>
      </c>
      <c r="E112" s="95">
        <f t="shared" si="5"/>
        <v>13865365.779999999</v>
      </c>
    </row>
    <row r="113" spans="1:5">
      <c r="A113" s="107"/>
      <c r="B113" s="82" t="s">
        <v>351</v>
      </c>
      <c r="C113" s="94">
        <v>6969532.8899999997</v>
      </c>
      <c r="D113" s="94">
        <v>0</v>
      </c>
      <c r="E113" s="95">
        <f t="shared" si="5"/>
        <v>6969532.8899999997</v>
      </c>
    </row>
    <row r="114" spans="1:5">
      <c r="A114" s="107"/>
      <c r="B114" s="82" t="s">
        <v>352</v>
      </c>
      <c r="C114" s="94">
        <v>1816972.43</v>
      </c>
      <c r="D114" s="94">
        <v>0</v>
      </c>
      <c r="E114" s="95">
        <f t="shared" si="5"/>
        <v>1816972.43</v>
      </c>
    </row>
    <row r="115" spans="1:5">
      <c r="A115" s="107"/>
      <c r="B115" s="82" t="s">
        <v>353</v>
      </c>
      <c r="C115" s="94">
        <v>15991048.5</v>
      </c>
      <c r="D115" s="94">
        <v>119335.17</v>
      </c>
      <c r="E115" s="95">
        <f t="shared" si="5"/>
        <v>16110383.67</v>
      </c>
    </row>
    <row r="116" spans="1:5">
      <c r="A116" s="107"/>
      <c r="B116" s="82" t="s">
        <v>354</v>
      </c>
      <c r="C116" s="94">
        <v>1232915.28</v>
      </c>
      <c r="D116" s="94">
        <v>0</v>
      </c>
      <c r="E116" s="95">
        <f t="shared" si="5"/>
        <v>1232915.28</v>
      </c>
    </row>
    <row r="117" spans="1:5">
      <c r="A117" s="107"/>
      <c r="B117" s="82" t="s">
        <v>355</v>
      </c>
      <c r="C117" s="94">
        <v>26845192.859999999</v>
      </c>
      <c r="D117" s="94">
        <v>12460822.48</v>
      </c>
      <c r="E117" s="95">
        <f t="shared" si="5"/>
        <v>39306015.340000004</v>
      </c>
    </row>
    <row r="118" spans="1:5">
      <c r="A118" s="107"/>
      <c r="B118" s="82" t="s">
        <v>356</v>
      </c>
      <c r="C118" s="94">
        <v>25503241.789999999</v>
      </c>
      <c r="D118" s="94">
        <v>0</v>
      </c>
      <c r="E118" s="95">
        <f t="shared" si="5"/>
        <v>25503241.789999999</v>
      </c>
    </row>
    <row r="119" spans="1:5">
      <c r="A119" s="107"/>
      <c r="B119" s="82" t="s">
        <v>357</v>
      </c>
      <c r="C119" s="94">
        <v>16746096.699999999</v>
      </c>
      <c r="D119" s="94">
        <v>0</v>
      </c>
      <c r="E119" s="95">
        <f t="shared" si="5"/>
        <v>16746096.699999999</v>
      </c>
    </row>
    <row r="120" spans="1:5">
      <c r="A120" s="107"/>
      <c r="B120" s="82" t="s">
        <v>358</v>
      </c>
      <c r="C120" s="94">
        <v>49074878.439999998</v>
      </c>
      <c r="D120" s="94">
        <v>0</v>
      </c>
      <c r="E120" s="95">
        <f t="shared" si="5"/>
        <v>49074878.439999998</v>
      </c>
    </row>
    <row r="121" spans="1:5">
      <c r="A121" s="107"/>
      <c r="B121" s="82" t="s">
        <v>359</v>
      </c>
      <c r="C121" s="94">
        <v>85138844.200000003</v>
      </c>
      <c r="D121" s="94">
        <v>0</v>
      </c>
      <c r="E121" s="95">
        <f t="shared" si="5"/>
        <v>85138844.200000003</v>
      </c>
    </row>
    <row r="122" spans="1:5">
      <c r="A122" s="107"/>
      <c r="B122" s="82" t="s">
        <v>360</v>
      </c>
      <c r="C122" s="94">
        <v>1644893.5</v>
      </c>
      <c r="D122" s="94">
        <v>0</v>
      </c>
      <c r="E122" s="95">
        <f t="shared" si="5"/>
        <v>1644893.5</v>
      </c>
    </row>
    <row r="123" spans="1:5">
      <c r="A123" s="107"/>
      <c r="B123" s="82" t="s">
        <v>361</v>
      </c>
      <c r="C123" s="94">
        <v>49769</v>
      </c>
      <c r="D123" s="94">
        <v>0</v>
      </c>
      <c r="E123" s="95">
        <f t="shared" si="5"/>
        <v>49769</v>
      </c>
    </row>
    <row r="124" spans="1:5">
      <c r="A124" s="107"/>
      <c r="B124" s="82" t="s">
        <v>362</v>
      </c>
      <c r="C124" s="94">
        <v>1155408081.8800001</v>
      </c>
      <c r="D124" s="94">
        <v>0</v>
      </c>
      <c r="E124" s="95">
        <f t="shared" si="5"/>
        <v>1155408081.8800001</v>
      </c>
    </row>
    <row r="125" spans="1:5">
      <c r="A125" s="107"/>
      <c r="B125" s="82" t="s">
        <v>363</v>
      </c>
      <c r="C125" s="94">
        <v>771144420.16999996</v>
      </c>
      <c r="D125" s="94">
        <v>90350272</v>
      </c>
      <c r="E125" s="95">
        <f t="shared" si="5"/>
        <v>861494692.16999996</v>
      </c>
    </row>
    <row r="126" spans="1:5" s="26" customFormat="1">
      <c r="A126" s="102"/>
      <c r="B126" s="83" t="s">
        <v>364</v>
      </c>
      <c r="C126" s="96">
        <f>SUM(C80:C125)</f>
        <v>7992107650.7499981</v>
      </c>
      <c r="D126" s="96">
        <f>SUM(D80:D125)</f>
        <v>1239462729.45</v>
      </c>
      <c r="E126" s="96">
        <f>SUM(E80:E125)</f>
        <v>9231570380.1999989</v>
      </c>
    </row>
    <row r="127" spans="1:5">
      <c r="A127" s="107"/>
      <c r="B127" s="82" t="s">
        <v>365</v>
      </c>
      <c r="C127" s="94">
        <v>180931014.44</v>
      </c>
      <c r="D127" s="94">
        <v>0</v>
      </c>
      <c r="E127" s="95">
        <f t="shared" si="5"/>
        <v>180931014.44</v>
      </c>
    </row>
    <row r="128" spans="1:5" s="26" customFormat="1">
      <c r="A128" s="102"/>
      <c r="B128" s="83" t="s">
        <v>366</v>
      </c>
      <c r="C128" s="96">
        <f>+C127</f>
        <v>180931014.44</v>
      </c>
      <c r="D128" s="96">
        <f>+D127</f>
        <v>0</v>
      </c>
      <c r="E128" s="96">
        <f>+E127</f>
        <v>180931014.44</v>
      </c>
    </row>
    <row r="129" spans="1:5">
      <c r="A129" s="107"/>
      <c r="B129" s="82" t="s">
        <v>367</v>
      </c>
      <c r="C129" s="94">
        <v>2504105.46</v>
      </c>
      <c r="D129" s="94">
        <v>0</v>
      </c>
      <c r="E129" s="95">
        <f t="shared" si="5"/>
        <v>2504105.46</v>
      </c>
    </row>
    <row r="130" spans="1:5">
      <c r="A130" s="107"/>
      <c r="B130" s="82" t="s">
        <v>368</v>
      </c>
      <c r="C130" s="94">
        <v>334391162.17000002</v>
      </c>
      <c r="D130" s="94">
        <v>444960170.49000001</v>
      </c>
      <c r="E130" s="95">
        <f t="shared" si="5"/>
        <v>779351332.66000009</v>
      </c>
    </row>
    <row r="131" spans="1:5">
      <c r="A131" s="107"/>
      <c r="B131" s="82" t="s">
        <v>369</v>
      </c>
      <c r="C131" s="94">
        <v>461698385.91000003</v>
      </c>
      <c r="D131" s="94">
        <v>47782947.969999999</v>
      </c>
      <c r="E131" s="95">
        <f t="shared" si="5"/>
        <v>509481333.88</v>
      </c>
    </row>
    <row r="132" spans="1:5">
      <c r="A132" s="107"/>
      <c r="B132" s="82" t="s">
        <v>370</v>
      </c>
      <c r="C132" s="94">
        <v>100993522.73</v>
      </c>
      <c r="D132" s="94">
        <v>0</v>
      </c>
      <c r="E132" s="95">
        <f t="shared" si="5"/>
        <v>100993522.73</v>
      </c>
    </row>
    <row r="133" spans="1:5">
      <c r="A133" s="107"/>
      <c r="B133" s="82" t="s">
        <v>371</v>
      </c>
      <c r="C133" s="94">
        <v>1632444.38</v>
      </c>
      <c r="D133" s="94">
        <v>2155497.0699999998</v>
      </c>
      <c r="E133" s="95">
        <f t="shared" si="5"/>
        <v>3787941.4499999997</v>
      </c>
    </row>
    <row r="134" spans="1:5">
      <c r="A134" s="107"/>
      <c r="B134" s="82" t="s">
        <v>372</v>
      </c>
      <c r="C134" s="94">
        <v>14846294.57</v>
      </c>
      <c r="D134" s="94">
        <v>48683480.899999999</v>
      </c>
      <c r="E134" s="95">
        <f t="shared" si="5"/>
        <v>63529775.469999999</v>
      </c>
    </row>
    <row r="135" spans="1:5" s="26" customFormat="1">
      <c r="A135" s="102"/>
      <c r="B135" s="83" t="s">
        <v>373</v>
      </c>
      <c r="C135" s="96">
        <f>SUM(C129:C134)</f>
        <v>916065915.22000003</v>
      </c>
      <c r="D135" s="96">
        <f>SUM(D129:D134)</f>
        <v>543582096.43000007</v>
      </c>
      <c r="E135" s="96">
        <f>SUM(E129:E134)</f>
        <v>1459648011.6500001</v>
      </c>
    </row>
    <row r="136" spans="1:5" s="26" customFormat="1">
      <c r="A136" s="109" t="s">
        <v>32</v>
      </c>
      <c r="B136" s="83"/>
      <c r="C136" s="96">
        <f>+C79+C126+C128+C135</f>
        <v>14264296078.699997</v>
      </c>
      <c r="D136" s="96">
        <f t="shared" ref="D136:E136" si="6">+D79+D126+D128+D135</f>
        <v>1783044825.8800001</v>
      </c>
      <c r="E136" s="96">
        <f t="shared" si="6"/>
        <v>16047340904.579998</v>
      </c>
    </row>
    <row r="137" spans="1:5">
      <c r="A137" s="99"/>
      <c r="B137" s="35"/>
      <c r="C137" s="99"/>
      <c r="D137" s="99"/>
      <c r="E137" s="99"/>
    </row>
    <row r="138" spans="1:5">
      <c r="A138" s="124" t="s">
        <v>33</v>
      </c>
      <c r="B138" s="124"/>
      <c r="C138" s="49"/>
      <c r="D138" s="49"/>
      <c r="E138" s="49"/>
    </row>
    <row r="139" spans="1:5">
      <c r="A139" s="31"/>
      <c r="B139" s="31" t="s">
        <v>34</v>
      </c>
      <c r="C139" s="49"/>
      <c r="D139" s="49"/>
      <c r="E139" s="49"/>
    </row>
    <row r="140" spans="1:5">
      <c r="A140" s="31"/>
      <c r="B140" s="110" t="s">
        <v>376</v>
      </c>
      <c r="C140" s="47">
        <v>28178905.449999999</v>
      </c>
      <c r="D140" s="47">
        <v>0</v>
      </c>
      <c r="E140" s="47">
        <f>SUM(C140:D140)</f>
        <v>28178905.449999999</v>
      </c>
    </row>
    <row r="141" spans="1:5">
      <c r="A141" s="31"/>
      <c r="B141" s="110" t="s">
        <v>375</v>
      </c>
      <c r="C141" s="47">
        <v>-582382035.72000003</v>
      </c>
      <c r="D141" s="47">
        <v>0</v>
      </c>
      <c r="E141" s="47">
        <f t="shared" ref="E141:E142" si="7">SUM(C141:D141)</f>
        <v>-582382035.72000003</v>
      </c>
    </row>
    <row r="142" spans="1:5">
      <c r="A142" s="31"/>
      <c r="B142" s="110" t="s">
        <v>377</v>
      </c>
      <c r="C142" s="52">
        <v>-606022805.14999998</v>
      </c>
      <c r="D142" s="52">
        <v>0</v>
      </c>
      <c r="E142" s="47">
        <f t="shared" si="7"/>
        <v>-606022805.14999998</v>
      </c>
    </row>
    <row r="143" spans="1:5">
      <c r="A143" s="31"/>
      <c r="B143" s="48" t="s">
        <v>289</v>
      </c>
      <c r="C143" s="53">
        <f>SUM(C140:C142)</f>
        <v>-1160225935.4200001</v>
      </c>
      <c r="D143" s="53">
        <f>SUM(D140:D142)</f>
        <v>0</v>
      </c>
      <c r="E143" s="53">
        <f>SUM(E140:E142)</f>
        <v>-1160225935.4200001</v>
      </c>
    </row>
    <row r="144" spans="1:5">
      <c r="A144" s="124" t="s">
        <v>47</v>
      </c>
      <c r="B144" s="124"/>
      <c r="C144" s="92">
        <f t="shared" ref="C144:E144" si="8">C54-C136+C143</f>
        <v>1073524036.9400043</v>
      </c>
      <c r="D144" s="92">
        <f t="shared" si="8"/>
        <v>1410461344.5499992</v>
      </c>
      <c r="E144" s="92">
        <f t="shared" si="8"/>
        <v>2483985381.4900036</v>
      </c>
    </row>
  </sheetData>
  <sheetProtection algorithmName="SHA-512" hashValue="p6qLSgrDYsZ4cQik6ydAM+Rpq/F3qYDp1iEgzbv4ZkumNwj3MJy6r0ttKuED4FZbQRAQ0V5WeaEX9Jo6ehm64A==" saltValue="jZMc02BpTNZKeK/OfgHucQ==" spinCount="100000" sheet="1" objects="1" scenarios="1" selectLockedCells="1" selectUnlockedCells="1"/>
  <mergeCells count="7">
    <mergeCell ref="A144:B144"/>
    <mergeCell ref="A2:E2"/>
    <mergeCell ref="A3:E3"/>
    <mergeCell ref="A5:E5"/>
    <mergeCell ref="A7:B7"/>
    <mergeCell ref="A138:B138"/>
    <mergeCell ref="A4:E4"/>
  </mergeCells>
  <pageMargins left="0.66" right="0.5" top="1" bottom="1" header="0.5" footer="0.5"/>
  <pageSetup scale="81" firstPageNumber="116" fitToHeight="0" orientation="portrait" useFirstPageNumber="1" r:id="rId1"/>
  <headerFooter scaleWithDoc="0"/>
  <rowBreaks count="2" manualBreakCount="2">
    <brk id="55" max="4" man="1"/>
    <brk id="104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9"/>
  <sheetViews>
    <sheetView showGridLines="0" zoomScaleNormal="100" zoomScaleSheetLayoutView="100" workbookViewId="0"/>
  </sheetViews>
  <sheetFormatPr defaultColWidth="11.44140625" defaultRowHeight="13.8"/>
  <cols>
    <col min="1" max="1" width="3.33203125" style="20" customWidth="1"/>
    <col min="2" max="2" width="39.33203125" style="21" customWidth="1"/>
    <col min="3" max="5" width="19.21875" style="41" bestFit="1" customWidth="1"/>
    <col min="6" max="6" width="21.6640625" style="20" bestFit="1" customWidth="1"/>
    <col min="7" max="16384" width="11.44140625" style="20"/>
  </cols>
  <sheetData>
    <row r="1" spans="1:6">
      <c r="E1" s="93" t="s">
        <v>50</v>
      </c>
    </row>
    <row r="2" spans="1:6">
      <c r="A2" s="122" t="s">
        <v>25</v>
      </c>
      <c r="B2" s="122"/>
      <c r="C2" s="122"/>
      <c r="D2" s="122"/>
      <c r="E2" s="122"/>
    </row>
    <row r="3" spans="1:6">
      <c r="A3" s="122" t="s">
        <v>54</v>
      </c>
      <c r="B3" s="122"/>
      <c r="C3" s="122"/>
      <c r="D3" s="122"/>
      <c r="E3" s="122"/>
    </row>
    <row r="4" spans="1:6">
      <c r="A4" s="123" t="s">
        <v>382</v>
      </c>
      <c r="B4" s="123"/>
      <c r="C4" s="123"/>
      <c r="D4" s="123"/>
      <c r="E4" s="123"/>
    </row>
    <row r="5" spans="1:6">
      <c r="A5" s="123" t="s">
        <v>66</v>
      </c>
      <c r="B5" s="123"/>
      <c r="C5" s="123"/>
      <c r="D5" s="123"/>
      <c r="E5" s="123"/>
    </row>
    <row r="6" spans="1:6">
      <c r="B6" s="22"/>
      <c r="C6" s="46"/>
      <c r="D6" s="46"/>
      <c r="E6" s="46"/>
    </row>
    <row r="7" spans="1:6" s="24" customFormat="1" ht="27.6">
      <c r="A7" s="60"/>
      <c r="B7" s="60"/>
      <c r="C7" s="42" t="s">
        <v>0</v>
      </c>
      <c r="D7" s="45" t="s">
        <v>1</v>
      </c>
      <c r="E7" s="45" t="s">
        <v>3</v>
      </c>
    </row>
    <row r="8" spans="1:6">
      <c r="A8" s="102" t="s">
        <v>56</v>
      </c>
      <c r="B8" s="22"/>
      <c r="C8" s="47">
        <v>22619795768.25</v>
      </c>
      <c r="D8" s="47">
        <v>21825490580.029999</v>
      </c>
      <c r="E8" s="47">
        <f>+C8+D8</f>
        <v>44445286348.279999</v>
      </c>
    </row>
    <row r="9" spans="1:6">
      <c r="A9" s="103" t="s">
        <v>62</v>
      </c>
      <c r="B9" s="22"/>
      <c r="C9" s="52">
        <v>0</v>
      </c>
      <c r="D9" s="52">
        <v>0</v>
      </c>
      <c r="E9" s="52">
        <f>+C9+D9</f>
        <v>0</v>
      </c>
    </row>
    <row r="10" spans="1:6">
      <c r="A10" s="104" t="s">
        <v>63</v>
      </c>
      <c r="B10" s="22"/>
      <c r="C10" s="100">
        <f>+C8+C9</f>
        <v>22619795768.25</v>
      </c>
      <c r="D10" s="100">
        <f t="shared" ref="D10:E10" si="0">+D8+D9</f>
        <v>21825490580.029999</v>
      </c>
      <c r="E10" s="100">
        <f t="shared" si="0"/>
        <v>44445286348.279999</v>
      </c>
    </row>
    <row r="11" spans="1:6">
      <c r="A11" s="126" t="s">
        <v>61</v>
      </c>
      <c r="B11" s="126"/>
      <c r="C11" s="61"/>
      <c r="D11" s="61"/>
      <c r="E11" s="61"/>
    </row>
    <row r="12" spans="1:6" ht="27.6" customHeight="1">
      <c r="A12" s="125" t="s">
        <v>26</v>
      </c>
      <c r="B12" s="125"/>
      <c r="C12" s="62">
        <v>0</v>
      </c>
      <c r="D12" s="62">
        <v>0</v>
      </c>
      <c r="E12" s="62">
        <f>+C12+D12</f>
        <v>0</v>
      </c>
    </row>
    <row r="13" spans="1:6" ht="15.75" customHeight="1">
      <c r="A13" s="125" t="s">
        <v>27</v>
      </c>
      <c r="B13" s="125"/>
      <c r="C13" s="63">
        <f>'Annex B - SFPe'!C144</f>
        <v>1073524036.9400043</v>
      </c>
      <c r="D13" s="63">
        <f>'Annex B - SFPe'!D144</f>
        <v>1410461344.5499992</v>
      </c>
      <c r="E13" s="52">
        <f>+C13+D13</f>
        <v>2483985381.4900036</v>
      </c>
      <c r="F13" s="64"/>
    </row>
    <row r="14" spans="1:6" ht="16.5" customHeight="1">
      <c r="A14" s="124" t="s">
        <v>57</v>
      </c>
      <c r="B14" s="124"/>
      <c r="C14" s="101">
        <f>SUM(C10:C13)</f>
        <v>23693319805.190002</v>
      </c>
      <c r="D14" s="101">
        <f t="shared" ref="D14" si="1">SUM(D10:D13)</f>
        <v>23235951924.579998</v>
      </c>
      <c r="E14" s="101">
        <f>+C14+D14</f>
        <v>46929271729.770004</v>
      </c>
    </row>
    <row r="19" spans="1:5">
      <c r="A19" s="125"/>
      <c r="B19" s="125"/>
      <c r="C19" s="125"/>
      <c r="D19" s="125"/>
      <c r="E19" s="125"/>
    </row>
  </sheetData>
  <sheetProtection algorithmName="SHA-512" hashValue="bG/ts9OGv6ntshb8xnXmNpEqH69syNuTdK7euaBw8T4vY3iQ/EXkUTelCOlj2NjT95TuvAM45CntHXqueBL6Pg==" saltValue="Hv49dqCqK54V1WVPBdJfcw==" spinCount="100000" sheet="1" objects="1" scenarios="1" selectLockedCells="1" selectUnlockedCells="1"/>
  <mergeCells count="9">
    <mergeCell ref="A13:B13"/>
    <mergeCell ref="A14:B14"/>
    <mergeCell ref="A19:E19"/>
    <mergeCell ref="A2:E2"/>
    <mergeCell ref="A3:E3"/>
    <mergeCell ref="A5:E5"/>
    <mergeCell ref="A11:B11"/>
    <mergeCell ref="A12:B12"/>
    <mergeCell ref="A4:E4"/>
  </mergeCells>
  <pageMargins left="1.25" right="0.5" top="1" bottom="1" header="0.5" footer="0.5"/>
  <pageSetup scale="85" firstPageNumber="119" fitToHeight="0" orientation="portrait" useFirstPageNumber="1" r:id="rId1"/>
  <headerFooter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4"/>
  <sheetViews>
    <sheetView showGridLines="0" zoomScaleNormal="100" workbookViewId="0"/>
  </sheetViews>
  <sheetFormatPr defaultColWidth="11.44140625" defaultRowHeight="13.8"/>
  <cols>
    <col min="1" max="1" width="3.33203125" style="20" customWidth="1"/>
    <col min="2" max="2" width="38" style="21" bestFit="1" customWidth="1"/>
    <col min="3" max="3" width="19.21875" style="30" bestFit="1" customWidth="1"/>
    <col min="4" max="4" width="24.6640625" style="30" bestFit="1" customWidth="1"/>
    <col min="5" max="5" width="18.109375" style="30" bestFit="1" customWidth="1"/>
    <col min="6" max="6" width="19.21875" style="30" bestFit="1" customWidth="1"/>
    <col min="7" max="16384" width="11.44140625" style="20"/>
  </cols>
  <sheetData>
    <row r="1" spans="1:6">
      <c r="F1" s="93" t="s">
        <v>51</v>
      </c>
    </row>
    <row r="2" spans="1:6" s="55" customFormat="1">
      <c r="A2" s="122" t="s">
        <v>25</v>
      </c>
      <c r="B2" s="122"/>
      <c r="C2" s="122"/>
      <c r="D2" s="122"/>
      <c r="E2" s="122"/>
      <c r="F2" s="122"/>
    </row>
    <row r="3" spans="1:6" s="55" customFormat="1">
      <c r="A3" s="122" t="s">
        <v>55</v>
      </c>
      <c r="B3" s="122"/>
      <c r="C3" s="122"/>
      <c r="D3" s="122"/>
      <c r="E3" s="122"/>
      <c r="F3" s="122"/>
    </row>
    <row r="4" spans="1:6" s="55" customFormat="1">
      <c r="A4" s="123" t="s">
        <v>382</v>
      </c>
      <c r="B4" s="123"/>
      <c r="C4" s="123"/>
      <c r="D4" s="123"/>
      <c r="E4" s="123"/>
      <c r="F4" s="123"/>
    </row>
    <row r="5" spans="1:6" s="55" customFormat="1" ht="15" customHeight="1">
      <c r="A5" s="123" t="s">
        <v>66</v>
      </c>
      <c r="B5" s="123"/>
      <c r="C5" s="123"/>
      <c r="D5" s="123"/>
      <c r="E5" s="123"/>
      <c r="F5" s="123"/>
    </row>
    <row r="6" spans="1:6" s="55" customFormat="1" ht="15" customHeight="1">
      <c r="A6" s="20"/>
      <c r="B6" s="22"/>
      <c r="C6" s="56"/>
      <c r="D6" s="56"/>
      <c r="E6" s="56"/>
      <c r="F6" s="56"/>
    </row>
    <row r="7" spans="1:6" s="55" customFormat="1" ht="18.75" customHeight="1">
      <c r="A7" s="125"/>
      <c r="B7" s="125"/>
      <c r="C7" s="45" t="s">
        <v>0</v>
      </c>
      <c r="D7" s="45" t="s">
        <v>1</v>
      </c>
      <c r="E7" s="45" t="s">
        <v>2</v>
      </c>
      <c r="F7" s="45" t="s">
        <v>3</v>
      </c>
    </row>
    <row r="8" spans="1:6" s="55" customFormat="1" ht="15" customHeight="1">
      <c r="A8" s="124" t="s">
        <v>4</v>
      </c>
      <c r="B8" s="124"/>
      <c r="C8" s="47"/>
      <c r="D8" s="47"/>
      <c r="E8" s="47"/>
      <c r="F8" s="100"/>
    </row>
    <row r="9" spans="1:6" s="55" customFormat="1" ht="15" customHeight="1">
      <c r="A9" s="125" t="s">
        <v>5</v>
      </c>
      <c r="B9" s="125"/>
      <c r="C9" s="47"/>
      <c r="D9" s="47"/>
      <c r="E9" s="47"/>
      <c r="F9" s="47"/>
    </row>
    <row r="10" spans="1:6" s="55" customFormat="1" ht="15" customHeight="1">
      <c r="A10" s="99"/>
      <c r="B10" s="22" t="s">
        <v>6</v>
      </c>
      <c r="C10" s="47">
        <v>4475158252.4099998</v>
      </c>
      <c r="D10" s="47">
        <v>1109537188.6700001</v>
      </c>
      <c r="E10" s="47">
        <v>0</v>
      </c>
      <c r="F10" s="47">
        <f>SUM(C10:E10)</f>
        <v>5584695441.0799999</v>
      </c>
    </row>
    <row r="11" spans="1:6" s="55" customFormat="1" ht="15" customHeight="1">
      <c r="A11" s="99"/>
      <c r="B11" s="22" t="s">
        <v>7</v>
      </c>
      <c r="C11" s="47">
        <v>4602952487</v>
      </c>
      <c r="D11" s="47">
        <v>0</v>
      </c>
      <c r="E11" s="47">
        <v>0</v>
      </c>
      <c r="F11" s="47">
        <f t="shared" ref="F11:F14" si="0">SUM(C11:E11)</f>
        <v>4602952487</v>
      </c>
    </row>
    <row r="12" spans="1:6" s="55" customFormat="1" ht="15" customHeight="1">
      <c r="A12" s="99"/>
      <c r="B12" s="22" t="s">
        <v>8</v>
      </c>
      <c r="C12" s="47">
        <v>1604726253.1100001</v>
      </c>
      <c r="D12" s="47">
        <v>17566</v>
      </c>
      <c r="E12" s="47">
        <v>0</v>
      </c>
      <c r="F12" s="47">
        <f t="shared" si="0"/>
        <v>1604743819.1100001</v>
      </c>
    </row>
    <row r="13" spans="1:6" s="55" customFormat="1" ht="15" customHeight="1">
      <c r="A13" s="99"/>
      <c r="B13" s="22" t="s">
        <v>9</v>
      </c>
      <c r="C13" s="47">
        <v>21527436.940000001</v>
      </c>
      <c r="D13" s="47">
        <v>11204826.74</v>
      </c>
      <c r="E13" s="47">
        <v>0</v>
      </c>
      <c r="F13" s="47">
        <f t="shared" si="0"/>
        <v>32732263.68</v>
      </c>
    </row>
    <row r="14" spans="1:6" s="55" customFormat="1" ht="15" customHeight="1">
      <c r="A14" s="99"/>
      <c r="B14" s="22" t="s">
        <v>10</v>
      </c>
      <c r="C14" s="47">
        <v>3565936763.3099999</v>
      </c>
      <c r="D14" s="111">
        <v>1476550974.97</v>
      </c>
      <c r="E14" s="47">
        <v>4635280873.9400005</v>
      </c>
      <c r="F14" s="47">
        <f t="shared" si="0"/>
        <v>9677768612.2200012</v>
      </c>
    </row>
    <row r="15" spans="1:6" s="57" customFormat="1" ht="15" customHeight="1">
      <c r="A15" s="102"/>
      <c r="B15" s="29" t="s">
        <v>11</v>
      </c>
      <c r="C15" s="112">
        <f>SUM(C10:C14)</f>
        <v>14270301192.77</v>
      </c>
      <c r="D15" s="112">
        <f>SUM(D10:D14)</f>
        <v>2597310556.3800001</v>
      </c>
      <c r="E15" s="112">
        <f>SUM(E10:E14)</f>
        <v>4635280873.9400005</v>
      </c>
      <c r="F15" s="112">
        <f>SUM(F10:F14)</f>
        <v>21502892623.090004</v>
      </c>
    </row>
    <row r="16" spans="1:6" s="55" customFormat="1" ht="15" customHeight="1">
      <c r="A16" s="125" t="s">
        <v>12</v>
      </c>
      <c r="B16" s="125"/>
      <c r="C16" s="47"/>
      <c r="D16" s="47"/>
      <c r="E16" s="47"/>
      <c r="F16" s="47"/>
    </row>
    <row r="17" spans="1:6" s="55" customFormat="1" ht="15" customHeight="1">
      <c r="A17" s="99"/>
      <c r="B17" s="35" t="s">
        <v>13</v>
      </c>
      <c r="C17" s="47">
        <v>6787370137.0204983</v>
      </c>
      <c r="D17" s="47">
        <v>1868993100.1500003</v>
      </c>
      <c r="E17" s="47">
        <v>4077009284.0700006</v>
      </c>
      <c r="F17" s="47">
        <f>SUM(C17:E17)</f>
        <v>12733372521.240498</v>
      </c>
    </row>
    <row r="18" spans="1:6" s="55" customFormat="1" ht="15" customHeight="1">
      <c r="A18" s="99"/>
      <c r="B18" s="22" t="s">
        <v>14</v>
      </c>
      <c r="C18" s="47">
        <v>3354084307.5899987</v>
      </c>
      <c r="D18" s="47">
        <v>0</v>
      </c>
      <c r="E18" s="47">
        <v>301043026.39999998</v>
      </c>
      <c r="F18" s="47">
        <f t="shared" ref="F18:F20" si="1">SUM(C18:E18)</f>
        <v>3655127333.9899988</v>
      </c>
    </row>
    <row r="19" spans="1:6" s="55" customFormat="1" ht="15" customHeight="1">
      <c r="A19" s="99"/>
      <c r="B19" s="35" t="s">
        <v>15</v>
      </c>
      <c r="C19" s="47">
        <v>180931014.44</v>
      </c>
      <c r="D19" s="47">
        <v>0</v>
      </c>
      <c r="E19" s="47">
        <v>0</v>
      </c>
      <c r="F19" s="47">
        <f t="shared" si="1"/>
        <v>180931014.44</v>
      </c>
    </row>
    <row r="20" spans="1:6" s="55" customFormat="1" ht="15" customHeight="1">
      <c r="A20" s="99"/>
      <c r="B20" s="22" t="s">
        <v>16</v>
      </c>
      <c r="C20" s="47">
        <v>2756381400.7905002</v>
      </c>
      <c r="D20" s="47">
        <v>583516260.02999997</v>
      </c>
      <c r="E20" s="47">
        <v>0</v>
      </c>
      <c r="F20" s="47">
        <f t="shared" si="1"/>
        <v>3339897660.8205004</v>
      </c>
    </row>
    <row r="21" spans="1:6" s="57" customFormat="1" ht="15" customHeight="1">
      <c r="A21" s="102"/>
      <c r="B21" s="29" t="s">
        <v>17</v>
      </c>
      <c r="C21" s="112">
        <f>SUM(C17:C20)</f>
        <v>13078766859.840998</v>
      </c>
      <c r="D21" s="112">
        <f t="shared" ref="D21:F21" si="2">SUM(D17:D20)</f>
        <v>2452509360.1800003</v>
      </c>
      <c r="E21" s="112">
        <f t="shared" si="2"/>
        <v>4378052310.4700003</v>
      </c>
      <c r="F21" s="112">
        <f t="shared" si="2"/>
        <v>19909328530.490997</v>
      </c>
    </row>
    <row r="22" spans="1:6" s="57" customFormat="1" ht="15" customHeight="1">
      <c r="A22" s="124" t="s">
        <v>18</v>
      </c>
      <c r="B22" s="124"/>
      <c r="C22" s="112">
        <f>+C15-C21</f>
        <v>1191534332.9290028</v>
      </c>
      <c r="D22" s="112">
        <f>+D15-D21</f>
        <v>144801196.19999981</v>
      </c>
      <c r="E22" s="112">
        <f>+E15-E21</f>
        <v>257228563.47000027</v>
      </c>
      <c r="F22" s="112">
        <f>+F15-F21</f>
        <v>1593564092.5990067</v>
      </c>
    </row>
    <row r="23" spans="1:6" s="55" customFormat="1" ht="15" customHeight="1">
      <c r="A23" s="124" t="s">
        <v>19</v>
      </c>
      <c r="B23" s="124"/>
      <c r="C23" s="47"/>
      <c r="D23" s="47"/>
      <c r="E23" s="47"/>
      <c r="F23" s="47"/>
    </row>
    <row r="24" spans="1:6" s="55" customFormat="1" ht="15" customHeight="1">
      <c r="A24" s="125" t="s">
        <v>5</v>
      </c>
      <c r="B24" s="125"/>
      <c r="C24" s="47"/>
      <c r="D24" s="47"/>
      <c r="E24" s="47"/>
      <c r="F24" s="47"/>
    </row>
    <row r="25" spans="1:6" s="58" customFormat="1" ht="27.6">
      <c r="A25" s="28"/>
      <c r="B25" s="28" t="s">
        <v>378</v>
      </c>
      <c r="C25" s="47">
        <v>4921063.93</v>
      </c>
      <c r="D25" s="47">
        <v>0</v>
      </c>
      <c r="E25" s="47">
        <v>0</v>
      </c>
      <c r="F25" s="47">
        <f>SUM(C25:E25)</f>
        <v>4921063.93</v>
      </c>
    </row>
    <row r="26" spans="1:6" s="57" customFormat="1" ht="15" customHeight="1">
      <c r="A26" s="31"/>
      <c r="B26" s="48" t="s">
        <v>11</v>
      </c>
      <c r="C26" s="112">
        <f>+C25</f>
        <v>4921063.93</v>
      </c>
      <c r="D26" s="112">
        <f>+D25</f>
        <v>0</v>
      </c>
      <c r="E26" s="112">
        <f>+E25</f>
        <v>0</v>
      </c>
      <c r="F26" s="112">
        <f>+F25</f>
        <v>4921063.93</v>
      </c>
    </row>
    <row r="27" spans="1:6" s="55" customFormat="1" ht="15" customHeight="1">
      <c r="A27" s="125" t="s">
        <v>12</v>
      </c>
      <c r="B27" s="125"/>
      <c r="C27" s="47"/>
      <c r="D27" s="47"/>
      <c r="E27" s="47"/>
      <c r="F27" s="47"/>
    </row>
    <row r="28" spans="1:6" s="58" customFormat="1" ht="27.6">
      <c r="A28" s="28"/>
      <c r="B28" s="28" t="s">
        <v>60</v>
      </c>
      <c r="C28" s="47">
        <v>8565074651.2390003</v>
      </c>
      <c r="D28" s="47">
        <v>654927863.40999997</v>
      </c>
      <c r="E28" s="47">
        <v>0</v>
      </c>
      <c r="F28" s="47">
        <f>SUM(C28:E28)</f>
        <v>9220002514.6490002</v>
      </c>
    </row>
    <row r="29" spans="1:6" s="57" customFormat="1" ht="15" customHeight="1">
      <c r="A29" s="102"/>
      <c r="B29" s="48" t="s">
        <v>17</v>
      </c>
      <c r="C29" s="112">
        <f>+C28</f>
        <v>8565074651.2390003</v>
      </c>
      <c r="D29" s="112">
        <f>+D28</f>
        <v>654927863.40999997</v>
      </c>
      <c r="E29" s="112">
        <f>+E28</f>
        <v>0</v>
      </c>
      <c r="F29" s="112">
        <f>+F28</f>
        <v>9220002514.6490002</v>
      </c>
    </row>
    <row r="30" spans="1:6" s="57" customFormat="1" ht="15" customHeight="1">
      <c r="A30" s="102" t="s">
        <v>20</v>
      </c>
      <c r="B30" s="48"/>
      <c r="C30" s="112">
        <f>+C26-C29</f>
        <v>-8560153587.309</v>
      </c>
      <c r="D30" s="112">
        <f t="shared" ref="D30:F30" si="3">+D26-D29</f>
        <v>-654927863.40999997</v>
      </c>
      <c r="E30" s="112">
        <f t="shared" si="3"/>
        <v>0</v>
      </c>
      <c r="F30" s="112">
        <f t="shared" si="3"/>
        <v>-9215081450.7189999</v>
      </c>
    </row>
    <row r="31" spans="1:6" s="55" customFormat="1" ht="15" customHeight="1">
      <c r="A31" s="124" t="s">
        <v>21</v>
      </c>
      <c r="B31" s="124"/>
      <c r="C31" s="47"/>
      <c r="D31" s="47"/>
      <c r="E31" s="47"/>
      <c r="F31" s="47"/>
    </row>
    <row r="32" spans="1:6" s="55" customFormat="1" ht="15" customHeight="1">
      <c r="A32" s="99" t="s">
        <v>5</v>
      </c>
      <c r="B32" s="35"/>
      <c r="C32" s="47"/>
      <c r="D32" s="47"/>
      <c r="E32" s="47"/>
      <c r="F32" s="47"/>
    </row>
    <row r="33" spans="1:6" s="55" customFormat="1" ht="15" customHeight="1">
      <c r="A33" s="99"/>
      <c r="B33" s="35" t="s">
        <v>58</v>
      </c>
      <c r="C33" s="47">
        <v>5094922521.4499998</v>
      </c>
      <c r="D33" s="47">
        <v>0</v>
      </c>
      <c r="E33" s="47">
        <v>0</v>
      </c>
      <c r="F33" s="47">
        <f>SUM(C33:E33)</f>
        <v>5094922521.4499998</v>
      </c>
    </row>
    <row r="34" spans="1:6" s="57" customFormat="1" ht="15" customHeight="1">
      <c r="A34" s="102"/>
      <c r="B34" s="48" t="s">
        <v>11</v>
      </c>
      <c r="C34" s="112">
        <f>+C33</f>
        <v>5094922521.4499998</v>
      </c>
      <c r="D34" s="112">
        <f>+D33</f>
        <v>0</v>
      </c>
      <c r="E34" s="112">
        <f>+E33</f>
        <v>0</v>
      </c>
      <c r="F34" s="112">
        <f>+F33</f>
        <v>5094922521.4499998</v>
      </c>
    </row>
    <row r="35" spans="1:6" s="57" customFormat="1" ht="15" customHeight="1">
      <c r="A35" s="102" t="s">
        <v>22</v>
      </c>
      <c r="B35" s="48"/>
      <c r="C35" s="112">
        <f>+C34</f>
        <v>5094922521.4499998</v>
      </c>
      <c r="D35" s="112">
        <f t="shared" ref="D35:F35" si="4">+D34</f>
        <v>0</v>
      </c>
      <c r="E35" s="112">
        <f t="shared" si="4"/>
        <v>0</v>
      </c>
      <c r="F35" s="112">
        <f t="shared" si="4"/>
        <v>5094922521.4499998</v>
      </c>
    </row>
    <row r="36" spans="1:6" s="57" customFormat="1" ht="15" customHeight="1">
      <c r="A36" s="113" t="s">
        <v>23</v>
      </c>
      <c r="B36" s="48"/>
      <c r="C36" s="100"/>
      <c r="D36" s="100"/>
      <c r="E36" s="100"/>
      <c r="F36" s="100"/>
    </row>
    <row r="37" spans="1:6" s="57" customFormat="1" ht="15" customHeight="1">
      <c r="A37" s="102" t="s">
        <v>24</v>
      </c>
      <c r="B37" s="102"/>
      <c r="C37" s="100">
        <f>+C22+C30+C35</f>
        <v>-2273696732.9299974</v>
      </c>
      <c r="D37" s="100">
        <f t="shared" ref="D37:F37" si="5">+D22+D30+D35</f>
        <v>-510126667.21000016</v>
      </c>
      <c r="E37" s="100">
        <f t="shared" si="5"/>
        <v>257228563.47000027</v>
      </c>
      <c r="F37" s="100">
        <f t="shared" si="5"/>
        <v>-2526594836.6699934</v>
      </c>
    </row>
    <row r="38" spans="1:6" s="55" customFormat="1">
      <c r="A38" s="99" t="s">
        <v>46</v>
      </c>
      <c r="B38" s="105"/>
      <c r="C38" s="47">
        <v>4418178027.8596582</v>
      </c>
      <c r="D38" s="47">
        <v>3227733910.5499969</v>
      </c>
      <c r="E38" s="47">
        <v>3206413130.7199993</v>
      </c>
      <c r="F38" s="47">
        <v>10852325069.129654</v>
      </c>
    </row>
    <row r="39" spans="1:6" s="55" customFormat="1">
      <c r="A39" s="102" t="s">
        <v>45</v>
      </c>
      <c r="B39" s="114"/>
      <c r="C39" s="112">
        <f>+C37+C38</f>
        <v>2144481294.9296608</v>
      </c>
      <c r="D39" s="112">
        <f t="shared" ref="D39:F39" si="6">+D37+D38</f>
        <v>2717607243.3399968</v>
      </c>
      <c r="E39" s="112">
        <f t="shared" si="6"/>
        <v>3463641694.1899996</v>
      </c>
      <c r="F39" s="112">
        <f t="shared" si="6"/>
        <v>8325730232.4596605</v>
      </c>
    </row>
    <row r="40" spans="1:6" s="55" customFormat="1">
      <c r="A40" s="20"/>
      <c r="B40" s="21"/>
      <c r="C40" s="30"/>
      <c r="D40" s="30"/>
      <c r="E40" s="30"/>
      <c r="F40" s="30"/>
    </row>
    <row r="41" spans="1:6" s="55" customFormat="1">
      <c r="A41" s="20"/>
      <c r="B41" s="21"/>
      <c r="C41" s="30"/>
      <c r="D41" s="30"/>
      <c r="E41" s="30"/>
      <c r="F41" s="30"/>
    </row>
    <row r="42" spans="1:6" s="55" customFormat="1">
      <c r="A42" s="20"/>
      <c r="B42" s="21"/>
      <c r="C42" s="30"/>
      <c r="D42" s="30"/>
      <c r="E42" s="30"/>
      <c r="F42" s="30"/>
    </row>
    <row r="43" spans="1:6" s="55" customFormat="1">
      <c r="A43" s="20"/>
      <c r="B43" s="21"/>
      <c r="C43" s="30"/>
      <c r="D43" s="30"/>
      <c r="E43" s="30"/>
      <c r="F43" s="30"/>
    </row>
    <row r="44" spans="1:6" s="55" customFormat="1">
      <c r="A44" s="20"/>
      <c r="B44" s="21"/>
      <c r="C44" s="30"/>
      <c r="D44" s="30"/>
      <c r="E44" s="30"/>
      <c r="F44" s="30"/>
    </row>
    <row r="45" spans="1:6" s="55" customFormat="1">
      <c r="A45" s="20"/>
      <c r="B45" s="21"/>
      <c r="C45" s="30"/>
      <c r="D45" s="30"/>
      <c r="E45" s="30"/>
      <c r="F45" s="30"/>
    </row>
    <row r="46" spans="1:6" s="55" customFormat="1">
      <c r="A46" s="20"/>
      <c r="B46" s="34"/>
      <c r="C46" s="30"/>
      <c r="D46" s="30"/>
      <c r="E46" s="30"/>
      <c r="F46" s="30"/>
    </row>
    <row r="47" spans="1:6" s="55" customFormat="1">
      <c r="A47" s="20"/>
      <c r="B47" s="21"/>
      <c r="C47" s="30"/>
      <c r="D47" s="30"/>
      <c r="E47" s="30"/>
      <c r="F47" s="30"/>
    </row>
    <row r="48" spans="1:6" s="55" customFormat="1">
      <c r="A48" s="20"/>
      <c r="B48" s="59"/>
      <c r="C48" s="30"/>
      <c r="D48" s="30"/>
      <c r="E48" s="30"/>
      <c r="F48" s="30"/>
    </row>
    <row r="49" spans="1:6" s="55" customFormat="1">
      <c r="A49" s="20"/>
      <c r="B49" s="59"/>
      <c r="C49" s="30"/>
      <c r="D49" s="30"/>
      <c r="E49" s="30"/>
      <c r="F49" s="30"/>
    </row>
    <row r="50" spans="1:6" s="55" customFormat="1">
      <c r="A50" s="20"/>
      <c r="B50" s="59"/>
      <c r="C50" s="30"/>
      <c r="D50" s="30"/>
      <c r="E50" s="30"/>
      <c r="F50" s="30"/>
    </row>
    <row r="51" spans="1:6" s="55" customFormat="1">
      <c r="A51" s="20"/>
      <c r="B51" s="59"/>
      <c r="C51" s="30"/>
      <c r="D51" s="30"/>
      <c r="E51" s="30"/>
      <c r="F51" s="30"/>
    </row>
    <row r="52" spans="1:6" s="55" customFormat="1">
      <c r="A52" s="20"/>
      <c r="B52" s="21"/>
      <c r="C52" s="30"/>
      <c r="D52" s="30"/>
      <c r="E52" s="30"/>
      <c r="F52" s="30"/>
    </row>
    <row r="53" spans="1:6" s="55" customFormat="1">
      <c r="A53" s="20"/>
      <c r="B53" s="21"/>
      <c r="C53" s="30"/>
      <c r="D53" s="30"/>
      <c r="E53" s="30"/>
      <c r="F53" s="30"/>
    </row>
    <row r="54" spans="1:6" s="55" customFormat="1">
      <c r="A54" s="20"/>
      <c r="B54" s="21"/>
      <c r="C54" s="30"/>
      <c r="D54" s="30"/>
      <c r="E54" s="30"/>
      <c r="F54" s="30"/>
    </row>
  </sheetData>
  <sheetProtection algorithmName="SHA-512" hashValue="WNkJhYKRU+jrv8yEy2eGXuZ1ZDDcA1oqyMtSawg8Rt1yycYFQIrBkzt/wZmN2xw+rMlMX83I3p7eKGIJ7tNE6w==" saltValue="1SZbqqjqYBNXO6vTffAT7w==" spinCount="100000" sheet="1" objects="1" scenarios="1" selectLockedCells="1" selectUnlockedCells="1"/>
  <mergeCells count="13">
    <mergeCell ref="A2:F2"/>
    <mergeCell ref="A3:F3"/>
    <mergeCell ref="A5:F5"/>
    <mergeCell ref="A24:B24"/>
    <mergeCell ref="A31:B31"/>
    <mergeCell ref="A7:B7"/>
    <mergeCell ref="A8:B8"/>
    <mergeCell ref="A9:B9"/>
    <mergeCell ref="A16:B16"/>
    <mergeCell ref="A22:B22"/>
    <mergeCell ref="A23:B23"/>
    <mergeCell ref="A27:B27"/>
    <mergeCell ref="A4:F4"/>
  </mergeCells>
  <pageMargins left="0.59" right="0.5" top="1" bottom="1" header="0.5" footer="0.5"/>
  <pageSetup scale="77" firstPageNumber="120" fitToHeight="0" orientation="portrait" useFirstPageNumber="1" r:id="rId1"/>
  <headerFooter scaleWithDoc="0"/>
  <drawing r:id="rId2"/>
  <legacyDrawing r:id="rId3"/>
  <oleObjects>
    <mc:AlternateContent xmlns:mc="http://schemas.openxmlformats.org/markup-compatibility/2006">
      <mc:Choice Requires="x14">
        <oleObject link="[1]!'!OLE_LINK1'" oleUpdate="OLEUPDATE_ALWAYS" shapeId="6145">
          <objectPr defaultSize="0" autoPict="0" dde="1" r:id="rId4">
            <anchor moveWithCells="1">
              <from>
                <xdr:col>1</xdr:col>
                <xdr:colOff>0</xdr:colOff>
                <xdr:row>144</xdr:row>
                <xdr:rowOff>0</xdr:rowOff>
              </from>
              <to>
                <xdr:col>5</xdr:col>
                <xdr:colOff>975360</xdr:colOff>
                <xdr:row>183</xdr:row>
                <xdr:rowOff>160020</xdr:rowOff>
              </to>
            </anchor>
          </objectPr>
        </oleObject>
      </mc:Choice>
      <mc:Fallback>
        <oleObject link="[1]!'!OLE_LINK1'" oleUpdate="OLEUPDATE_ALWAYS" shapeId="6145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W1010"/>
  <sheetViews>
    <sheetView showGridLines="0" zoomScaleNormal="100" workbookViewId="0"/>
  </sheetViews>
  <sheetFormatPr defaultColWidth="14.44140625" defaultRowHeight="15" customHeight="1"/>
  <cols>
    <col min="1" max="1" width="3" style="1" customWidth="1"/>
    <col min="2" max="2" width="2" style="1" customWidth="1"/>
    <col min="3" max="3" width="3.33203125" style="1" customWidth="1"/>
    <col min="4" max="4" width="2.5546875" style="1" customWidth="1"/>
    <col min="5" max="5" width="3" style="1" customWidth="1"/>
    <col min="6" max="6" width="45.6640625" style="1" customWidth="1"/>
    <col min="7" max="11" width="20.6640625" style="1" customWidth="1"/>
    <col min="12" max="13" width="16.88671875" style="54" customWidth="1"/>
    <col min="14" max="17" width="16.88671875" style="1" customWidth="1"/>
    <col min="18" max="23" width="9.109375" style="1" customWidth="1"/>
    <col min="24" max="16384" width="14.44140625" style="1"/>
  </cols>
  <sheetData>
    <row r="1" spans="1:17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115" t="s">
        <v>64</v>
      </c>
      <c r="L1" s="3"/>
      <c r="M1" s="3"/>
      <c r="N1" s="2"/>
      <c r="O1" s="2"/>
      <c r="P1" s="2"/>
      <c r="Q1" s="2"/>
    </row>
    <row r="2" spans="1:17" ht="12.75" customHeight="1">
      <c r="A2" s="130" t="s">
        <v>25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5"/>
      <c r="M2" s="5"/>
      <c r="N2" s="4"/>
      <c r="O2" s="4"/>
      <c r="P2" s="4"/>
      <c r="Q2" s="4"/>
    </row>
    <row r="3" spans="1:17" ht="12.75" customHeight="1">
      <c r="A3" s="130" t="s">
        <v>65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5"/>
      <c r="M3" s="5"/>
      <c r="N3" s="4"/>
      <c r="O3" s="4"/>
      <c r="P3" s="4"/>
      <c r="Q3" s="4"/>
    </row>
    <row r="4" spans="1:17" ht="12.75" customHeight="1">
      <c r="A4" s="127" t="s">
        <v>382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5"/>
      <c r="M4" s="5"/>
      <c r="N4" s="4"/>
      <c r="O4" s="4"/>
      <c r="P4" s="4"/>
      <c r="Q4" s="4"/>
    </row>
    <row r="5" spans="1:17" ht="12.75" customHeight="1">
      <c r="A5" s="127" t="s">
        <v>66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5"/>
      <c r="M5" s="5"/>
      <c r="N5" s="4"/>
      <c r="O5" s="4"/>
      <c r="P5" s="4"/>
      <c r="Q5" s="4"/>
    </row>
    <row r="6" spans="1:17" ht="12.75" customHeight="1">
      <c r="A6" s="80"/>
      <c r="B6" s="81"/>
      <c r="C6" s="81"/>
      <c r="D6" s="81"/>
      <c r="E6" s="81"/>
      <c r="F6" s="81"/>
      <c r="G6" s="81"/>
      <c r="H6" s="81"/>
      <c r="I6" s="81"/>
      <c r="J6" s="81"/>
      <c r="K6" s="81"/>
      <c r="L6" s="5"/>
      <c r="M6" s="5"/>
      <c r="N6" s="4"/>
      <c r="O6" s="4"/>
      <c r="P6" s="4"/>
      <c r="Q6" s="4"/>
    </row>
    <row r="7" spans="1:17" ht="12.75" customHeight="1">
      <c r="A7" s="132" t="s">
        <v>67</v>
      </c>
      <c r="B7" s="133"/>
      <c r="C7" s="133"/>
      <c r="D7" s="133"/>
      <c r="E7" s="133"/>
      <c r="F7" s="133"/>
      <c r="G7" s="135" t="s">
        <v>68</v>
      </c>
      <c r="H7" s="133"/>
      <c r="I7" s="132" t="s">
        <v>69</v>
      </c>
      <c r="J7" s="132" t="s">
        <v>70</v>
      </c>
      <c r="K7" s="132" t="s">
        <v>71</v>
      </c>
      <c r="L7" s="7"/>
      <c r="M7" s="7"/>
      <c r="N7" s="6"/>
      <c r="O7" s="6"/>
      <c r="P7" s="6"/>
      <c r="Q7" s="6"/>
    </row>
    <row r="8" spans="1:17" ht="12.75" customHeight="1">
      <c r="A8" s="134"/>
      <c r="B8" s="134"/>
      <c r="C8" s="134"/>
      <c r="D8" s="134"/>
      <c r="E8" s="134"/>
      <c r="F8" s="134"/>
      <c r="G8" s="8" t="s">
        <v>72</v>
      </c>
      <c r="H8" s="8" t="s">
        <v>73</v>
      </c>
      <c r="I8" s="134"/>
      <c r="J8" s="134"/>
      <c r="K8" s="134"/>
      <c r="L8" s="7"/>
      <c r="M8" s="7"/>
      <c r="N8" s="6"/>
      <c r="O8" s="6"/>
      <c r="P8" s="6"/>
      <c r="Q8" s="6"/>
    </row>
    <row r="9" spans="1:17" ht="12.75" customHeight="1">
      <c r="A9" s="4" t="s">
        <v>74</v>
      </c>
      <c r="B9" s="2"/>
      <c r="C9" s="2"/>
      <c r="D9" s="2"/>
      <c r="E9" s="2"/>
      <c r="F9" s="2"/>
      <c r="G9" s="9"/>
      <c r="H9" s="9"/>
      <c r="I9" s="9"/>
      <c r="J9" s="9"/>
      <c r="K9" s="9"/>
      <c r="L9" s="10"/>
      <c r="M9" s="10"/>
      <c r="N9" s="9"/>
      <c r="O9" s="9"/>
      <c r="P9" s="9"/>
      <c r="Q9" s="9"/>
    </row>
    <row r="10" spans="1:17" ht="12.75" customHeight="1">
      <c r="A10" s="127" t="s">
        <v>75</v>
      </c>
      <c r="B10" s="128"/>
      <c r="C10" s="2" t="s">
        <v>76</v>
      </c>
      <c r="D10" s="2"/>
      <c r="E10" s="2"/>
      <c r="F10" s="2"/>
      <c r="G10" s="9"/>
      <c r="H10" s="9"/>
      <c r="I10" s="9"/>
      <c r="J10" s="9"/>
      <c r="K10" s="9"/>
      <c r="L10" s="10"/>
      <c r="M10" s="10"/>
      <c r="N10" s="9"/>
      <c r="O10" s="9"/>
      <c r="P10" s="9"/>
      <c r="Q10" s="9"/>
    </row>
    <row r="11" spans="1:17" ht="12.75" customHeight="1">
      <c r="A11" s="2"/>
      <c r="B11" s="2"/>
      <c r="C11" s="2" t="s">
        <v>77</v>
      </c>
      <c r="D11" s="2" t="s">
        <v>28</v>
      </c>
      <c r="E11" s="2"/>
      <c r="F11" s="2"/>
      <c r="H11" s="9"/>
      <c r="I11" s="9"/>
      <c r="J11" s="9"/>
      <c r="K11" s="9"/>
      <c r="L11" s="10"/>
      <c r="M11" s="10"/>
      <c r="N11" s="9"/>
      <c r="O11" s="9"/>
      <c r="P11" s="9"/>
      <c r="Q11" s="9"/>
    </row>
    <row r="12" spans="1:17" ht="12.75" customHeight="1">
      <c r="A12" s="2"/>
      <c r="B12" s="2"/>
      <c r="C12" s="2"/>
      <c r="D12" s="2"/>
      <c r="E12" s="2" t="s">
        <v>78</v>
      </c>
      <c r="F12" s="2" t="s">
        <v>79</v>
      </c>
      <c r="G12" s="9">
        <v>3620000000</v>
      </c>
      <c r="H12" s="9">
        <v>3620000000</v>
      </c>
      <c r="I12" s="9">
        <f>+G12-H12</f>
        <v>0</v>
      </c>
      <c r="J12" s="2">
        <v>3135352545.2800007</v>
      </c>
      <c r="K12" s="9">
        <f>+H12-J12</f>
        <v>484647454.71999931</v>
      </c>
      <c r="L12" s="78">
        <v>2876092071.0900002</v>
      </c>
      <c r="M12" s="10"/>
      <c r="N12" s="9"/>
      <c r="O12" s="9"/>
      <c r="P12" s="9"/>
      <c r="Q12" s="9"/>
    </row>
    <row r="13" spans="1:17" ht="12.75" customHeight="1">
      <c r="A13" s="2"/>
      <c r="B13" s="2"/>
      <c r="C13" s="2"/>
      <c r="D13" s="2"/>
      <c r="E13" s="2" t="s">
        <v>80</v>
      </c>
      <c r="F13" s="2" t="s">
        <v>81</v>
      </c>
      <c r="G13" s="9">
        <v>4920000000</v>
      </c>
      <c r="H13" s="9">
        <v>4920000000</v>
      </c>
      <c r="I13" s="9">
        <f t="shared" ref="I13:I14" si="0">+G13-H13</f>
        <v>0</v>
      </c>
      <c r="J13" s="2">
        <v>4007591122.9699998</v>
      </c>
      <c r="K13" s="9">
        <f t="shared" ref="K13:K14" si="1">+H13-J13</f>
        <v>912408877.03000021</v>
      </c>
      <c r="L13" s="78">
        <v>4606694618.1999998</v>
      </c>
      <c r="M13" s="10"/>
      <c r="N13" s="9"/>
      <c r="O13" s="9"/>
      <c r="P13" s="9"/>
      <c r="Q13" s="9"/>
    </row>
    <row r="14" spans="1:17" ht="12.75" customHeight="1">
      <c r="A14" s="2"/>
      <c r="B14" s="2"/>
      <c r="C14" s="2"/>
      <c r="D14" s="2"/>
      <c r="E14" s="2" t="s">
        <v>82</v>
      </c>
      <c r="F14" s="2" t="s">
        <v>83</v>
      </c>
      <c r="G14" s="9">
        <v>642250000</v>
      </c>
      <c r="H14" s="9">
        <v>642250000</v>
      </c>
      <c r="I14" s="9">
        <f t="shared" si="0"/>
        <v>0</v>
      </c>
      <c r="J14" s="2">
        <v>236670924.71000001</v>
      </c>
      <c r="K14" s="9">
        <f t="shared" si="1"/>
        <v>405579075.28999996</v>
      </c>
      <c r="L14" s="78">
        <v>203827852.19999999</v>
      </c>
      <c r="M14" s="10"/>
      <c r="N14" s="9"/>
      <c r="O14" s="9"/>
      <c r="P14" s="9"/>
      <c r="Q14" s="9"/>
    </row>
    <row r="15" spans="1:17" ht="12.75" customHeight="1">
      <c r="A15" s="116"/>
      <c r="B15" s="116"/>
      <c r="C15" s="116"/>
      <c r="D15" s="116" t="s">
        <v>84</v>
      </c>
      <c r="E15" s="116"/>
      <c r="F15" s="116"/>
      <c r="G15" s="11">
        <f t="shared" ref="G15" si="2">SUM(G12:G14)</f>
        <v>9182250000</v>
      </c>
      <c r="H15" s="11">
        <f>SUM(H12:H14)</f>
        <v>9182250000</v>
      </c>
      <c r="I15" s="11">
        <f t="shared" ref="I15:K15" si="3">SUM(I12:I14)</f>
        <v>0</v>
      </c>
      <c r="J15" s="11">
        <f t="shared" si="3"/>
        <v>7379614592.96</v>
      </c>
      <c r="K15" s="11">
        <f t="shared" si="3"/>
        <v>1802635407.0399995</v>
      </c>
      <c r="L15" s="13"/>
      <c r="M15" s="13"/>
      <c r="N15" s="12"/>
      <c r="O15" s="12"/>
      <c r="P15" s="12"/>
      <c r="Q15" s="12"/>
    </row>
    <row r="16" spans="1:17" ht="12.75" customHeight="1">
      <c r="A16" s="2"/>
      <c r="B16" s="2"/>
      <c r="C16" s="2" t="s">
        <v>85</v>
      </c>
      <c r="D16" s="2" t="s">
        <v>86</v>
      </c>
      <c r="E16" s="2"/>
      <c r="F16" s="2"/>
      <c r="G16" s="9"/>
      <c r="H16" s="9"/>
      <c r="I16" s="9"/>
      <c r="J16" s="2"/>
      <c r="K16" s="9"/>
      <c r="L16" s="10"/>
      <c r="M16" s="10"/>
      <c r="N16" s="9"/>
      <c r="O16" s="9"/>
      <c r="P16" s="9"/>
      <c r="Q16" s="9"/>
    </row>
    <row r="17" spans="1:22" ht="12.75" customHeight="1">
      <c r="A17" s="2"/>
      <c r="B17" s="2"/>
      <c r="C17" s="2"/>
      <c r="D17" s="2"/>
      <c r="E17" s="2" t="s">
        <v>78</v>
      </c>
      <c r="F17" s="2" t="s">
        <v>87</v>
      </c>
      <c r="G17" s="9">
        <v>1181613818</v>
      </c>
      <c r="H17" s="9">
        <v>1181613818</v>
      </c>
      <c r="I17" s="9">
        <f t="shared" ref="I17:I19" si="4">+G17-H17</f>
        <v>0</v>
      </c>
      <c r="J17" s="2">
        <v>774646652.84000015</v>
      </c>
      <c r="K17" s="9">
        <f t="shared" ref="K17:K19" si="5">+H17-J17</f>
        <v>406967165.15999985</v>
      </c>
      <c r="L17" s="78">
        <v>736705592.00999999</v>
      </c>
      <c r="M17" s="10"/>
      <c r="N17" s="9"/>
      <c r="O17" s="9"/>
      <c r="P17" s="9"/>
      <c r="Q17" s="9"/>
    </row>
    <row r="18" spans="1:22" ht="12.75" customHeight="1">
      <c r="A18" s="2"/>
      <c r="B18" s="2"/>
      <c r="C18" s="2"/>
      <c r="D18" s="2"/>
      <c r="E18" s="2" t="s">
        <v>80</v>
      </c>
      <c r="F18" s="2" t="s">
        <v>88</v>
      </c>
      <c r="G18" s="9">
        <v>707135638</v>
      </c>
      <c r="H18" s="9">
        <v>707135638</v>
      </c>
      <c r="I18" s="9">
        <f t="shared" si="4"/>
        <v>0</v>
      </c>
      <c r="J18" s="2">
        <v>767897494.01999998</v>
      </c>
      <c r="K18" s="9">
        <f t="shared" si="5"/>
        <v>-60761856.019999981</v>
      </c>
      <c r="L18" s="78">
        <v>471707477.79000002</v>
      </c>
      <c r="M18" s="10"/>
      <c r="N18" s="9"/>
      <c r="O18" s="9"/>
      <c r="P18" s="9"/>
      <c r="Q18" s="9"/>
    </row>
    <row r="19" spans="1:22" ht="12.75" customHeight="1">
      <c r="A19" s="2"/>
      <c r="B19" s="2"/>
      <c r="C19" s="2"/>
      <c r="D19" s="2"/>
      <c r="E19" s="2" t="s">
        <v>82</v>
      </c>
      <c r="F19" s="2" t="s">
        <v>89</v>
      </c>
      <c r="G19" s="9">
        <v>1938242</v>
      </c>
      <c r="H19" s="9">
        <v>7866285</v>
      </c>
      <c r="I19" s="9">
        <f t="shared" si="4"/>
        <v>-5928043</v>
      </c>
      <c r="J19" s="2">
        <v>156392085.52000001</v>
      </c>
      <c r="K19" s="9">
        <f t="shared" si="5"/>
        <v>-148525800.52000001</v>
      </c>
      <c r="L19" s="78">
        <v>16714676.01</v>
      </c>
      <c r="M19" s="10"/>
      <c r="N19" s="9"/>
      <c r="O19" s="9"/>
      <c r="P19" s="9"/>
      <c r="Q19" s="9"/>
    </row>
    <row r="20" spans="1:22" ht="12.75" customHeight="1">
      <c r="A20" s="116"/>
      <c r="B20" s="116"/>
      <c r="C20" s="116"/>
      <c r="D20" s="116" t="s">
        <v>90</v>
      </c>
      <c r="E20" s="116"/>
      <c r="F20" s="116"/>
      <c r="G20" s="11">
        <f>SUM(G17:G19)</f>
        <v>1890687698</v>
      </c>
      <c r="H20" s="11">
        <f>SUM(H17:H19)</f>
        <v>1896615741</v>
      </c>
      <c r="I20" s="11">
        <f>SUM(I17:I19)</f>
        <v>-5928043</v>
      </c>
      <c r="J20" s="11">
        <f>SUM(J17:J19)</f>
        <v>1698936232.3800001</v>
      </c>
      <c r="K20" s="11">
        <f>SUM(K17:K19)</f>
        <v>197679508.61999986</v>
      </c>
      <c r="L20" s="13"/>
      <c r="M20" s="13"/>
      <c r="N20" s="12"/>
      <c r="O20" s="12"/>
      <c r="P20" s="12"/>
      <c r="Q20" s="12"/>
    </row>
    <row r="21" spans="1:22" ht="12.75" customHeight="1">
      <c r="A21" s="127" t="s">
        <v>91</v>
      </c>
      <c r="B21" s="128"/>
      <c r="C21" s="2" t="s">
        <v>92</v>
      </c>
      <c r="D21" s="2"/>
      <c r="E21" s="2"/>
      <c r="F21" s="2"/>
      <c r="G21" s="12"/>
      <c r="H21" s="12"/>
      <c r="I21" s="12"/>
      <c r="J21" s="12"/>
      <c r="K21" s="12"/>
      <c r="L21" s="10"/>
      <c r="M21" s="10"/>
      <c r="N21" s="9"/>
      <c r="O21" s="9"/>
      <c r="P21" s="9"/>
      <c r="Q21" s="9"/>
    </row>
    <row r="22" spans="1:22" ht="12.75" customHeight="1">
      <c r="A22" s="2"/>
      <c r="B22" s="2"/>
      <c r="C22" s="2" t="s">
        <v>77</v>
      </c>
      <c r="D22" s="2" t="s">
        <v>93</v>
      </c>
      <c r="E22" s="2"/>
      <c r="F22" s="2"/>
      <c r="G22" s="9">
        <v>4978610487</v>
      </c>
      <c r="H22" s="9">
        <v>4978610487</v>
      </c>
      <c r="I22" s="9">
        <f t="shared" ref="I22:I33" si="6">+G22-H22</f>
        <v>0</v>
      </c>
      <c r="J22" s="2">
        <v>4602952487</v>
      </c>
      <c r="K22" s="9">
        <f t="shared" ref="K22:K33" si="7">+H22-J22</f>
        <v>375658000</v>
      </c>
      <c r="L22" s="78">
        <v>3763196569</v>
      </c>
      <c r="M22" s="10"/>
      <c r="N22" s="9"/>
      <c r="O22" s="9"/>
      <c r="P22" s="9"/>
      <c r="Q22" s="9"/>
    </row>
    <row r="23" spans="1:22" ht="12.75" customHeight="1">
      <c r="A23" s="2"/>
      <c r="B23" s="2"/>
      <c r="C23" s="2" t="s">
        <v>85</v>
      </c>
      <c r="D23" s="2" t="s">
        <v>10</v>
      </c>
      <c r="E23" s="2"/>
      <c r="F23" s="2"/>
      <c r="G23" s="9"/>
      <c r="H23" s="9"/>
      <c r="I23" s="9"/>
      <c r="J23" s="2"/>
      <c r="K23" s="9"/>
      <c r="L23" s="10"/>
      <c r="M23" s="10"/>
      <c r="N23" s="9"/>
      <c r="O23" s="9"/>
      <c r="P23" s="9"/>
      <c r="Q23" s="9"/>
    </row>
    <row r="24" spans="1:22" ht="12.75" customHeight="1">
      <c r="A24" s="2"/>
      <c r="B24" s="2"/>
      <c r="C24" s="2"/>
      <c r="D24" s="2" t="s">
        <v>78</v>
      </c>
      <c r="E24" s="2" t="s">
        <v>94</v>
      </c>
      <c r="F24" s="2"/>
      <c r="G24" s="9">
        <v>0</v>
      </c>
      <c r="H24" s="9">
        <v>0</v>
      </c>
      <c r="I24" s="9">
        <f t="shared" si="6"/>
        <v>0</v>
      </c>
      <c r="J24" s="2">
        <v>0</v>
      </c>
      <c r="K24" s="9">
        <f t="shared" si="7"/>
        <v>0</v>
      </c>
      <c r="L24" s="10"/>
      <c r="M24" s="10"/>
      <c r="N24" s="9"/>
      <c r="O24" s="9"/>
      <c r="P24" s="9"/>
      <c r="Q24" s="9"/>
    </row>
    <row r="25" spans="1:22" ht="12.75" customHeight="1">
      <c r="A25" s="2"/>
      <c r="B25" s="2"/>
      <c r="C25" s="2"/>
      <c r="D25" s="2" t="s">
        <v>80</v>
      </c>
      <c r="E25" s="2" t="s">
        <v>95</v>
      </c>
      <c r="F25" s="2"/>
      <c r="G25" s="9">
        <v>0</v>
      </c>
      <c r="H25" s="9">
        <v>0</v>
      </c>
      <c r="I25" s="9">
        <f t="shared" si="6"/>
        <v>0</v>
      </c>
      <c r="J25" s="9">
        <v>0</v>
      </c>
      <c r="K25" s="9">
        <f t="shared" si="7"/>
        <v>0</v>
      </c>
      <c r="L25" s="10"/>
      <c r="M25" s="10"/>
      <c r="N25" s="9"/>
      <c r="O25" s="9"/>
      <c r="P25" s="9"/>
      <c r="Q25" s="9"/>
    </row>
    <row r="26" spans="1:22" ht="12.75" customHeight="1">
      <c r="A26" s="2"/>
      <c r="B26" s="2"/>
      <c r="C26" s="2" t="s">
        <v>96</v>
      </c>
      <c r="D26" s="2" t="s">
        <v>97</v>
      </c>
      <c r="E26" s="2"/>
      <c r="F26" s="2"/>
      <c r="G26" s="9"/>
      <c r="H26" s="9"/>
      <c r="I26" s="9"/>
      <c r="J26" s="2"/>
      <c r="K26" s="9"/>
      <c r="L26" s="10"/>
      <c r="M26" s="10"/>
      <c r="N26" s="9"/>
      <c r="O26" s="9"/>
      <c r="P26" s="9"/>
      <c r="Q26" s="9"/>
    </row>
    <row r="27" spans="1:22" ht="12.75" customHeight="1">
      <c r="A27" s="2"/>
      <c r="B27" s="2"/>
      <c r="C27" s="2"/>
      <c r="D27" s="2" t="s">
        <v>78</v>
      </c>
      <c r="E27" s="2" t="s">
        <v>98</v>
      </c>
      <c r="F27" s="2"/>
      <c r="G27" s="9">
        <v>6119555749</v>
      </c>
      <c r="H27" s="9">
        <v>6119555749</v>
      </c>
      <c r="I27" s="9">
        <f t="shared" si="6"/>
        <v>0</v>
      </c>
      <c r="J27" s="2">
        <v>0</v>
      </c>
      <c r="K27" s="9">
        <f t="shared" si="7"/>
        <v>6119555749</v>
      </c>
      <c r="L27" s="78">
        <v>1401222455.2399998</v>
      </c>
      <c r="M27" s="10"/>
      <c r="N27" s="9"/>
      <c r="O27" s="9"/>
      <c r="P27" s="9"/>
      <c r="Q27" s="9"/>
    </row>
    <row r="28" spans="1:22" ht="12.75" customHeight="1">
      <c r="A28" s="2"/>
      <c r="B28" s="2"/>
      <c r="C28" s="2"/>
      <c r="D28" s="2" t="s">
        <v>80</v>
      </c>
      <c r="E28" s="2" t="s">
        <v>99</v>
      </c>
      <c r="F28" s="2"/>
      <c r="G28" s="9"/>
      <c r="H28" s="9"/>
      <c r="I28" s="9">
        <f t="shared" si="6"/>
        <v>0</v>
      </c>
      <c r="J28" s="2">
        <v>0</v>
      </c>
      <c r="K28" s="9">
        <f t="shared" si="7"/>
        <v>0</v>
      </c>
      <c r="L28" s="78">
        <v>0</v>
      </c>
      <c r="M28" s="10"/>
      <c r="N28" s="9"/>
      <c r="O28" s="9"/>
      <c r="P28" s="9"/>
      <c r="Q28" s="9"/>
    </row>
    <row r="29" spans="1:22" ht="12.75" customHeight="1">
      <c r="C29" s="14"/>
      <c r="D29" s="2" t="s">
        <v>82</v>
      </c>
      <c r="E29" s="1" t="s">
        <v>100</v>
      </c>
      <c r="G29" s="15">
        <v>28896066</v>
      </c>
      <c r="H29" s="15">
        <v>28896066</v>
      </c>
      <c r="I29" s="9">
        <f t="shared" si="6"/>
        <v>0</v>
      </c>
      <c r="J29" s="16">
        <v>0</v>
      </c>
      <c r="K29" s="9">
        <f t="shared" si="7"/>
        <v>28896066</v>
      </c>
      <c r="L29" s="78"/>
      <c r="M29" s="78"/>
      <c r="N29" s="16"/>
      <c r="O29" s="16"/>
      <c r="P29" s="16"/>
      <c r="Q29" s="16"/>
      <c r="R29" s="16"/>
      <c r="S29" s="16"/>
      <c r="T29" s="16"/>
      <c r="U29" s="16"/>
    </row>
    <row r="30" spans="1:22" ht="12.75" customHeight="1">
      <c r="A30" s="129" t="s">
        <v>101</v>
      </c>
      <c r="B30" s="128"/>
      <c r="C30" s="14" t="s">
        <v>102</v>
      </c>
      <c r="G30" s="15"/>
      <c r="H30" s="15"/>
      <c r="I30" s="9">
        <f t="shared" si="6"/>
        <v>0</v>
      </c>
      <c r="J30" s="16"/>
      <c r="K30" s="15"/>
      <c r="L30" s="78"/>
      <c r="M30" s="78"/>
      <c r="N30" s="16"/>
      <c r="O30" s="16"/>
      <c r="P30" s="16"/>
      <c r="Q30" s="16"/>
      <c r="R30" s="16"/>
      <c r="S30" s="16"/>
      <c r="T30" s="16"/>
      <c r="U30" s="16"/>
    </row>
    <row r="31" spans="1:22" ht="12.75" customHeight="1">
      <c r="A31" s="17"/>
      <c r="C31" s="14"/>
      <c r="D31" s="1" t="s">
        <v>78</v>
      </c>
      <c r="E31" s="1" t="s">
        <v>103</v>
      </c>
      <c r="G31" s="15">
        <v>0</v>
      </c>
      <c r="H31" s="15">
        <v>2800000000</v>
      </c>
      <c r="I31" s="9">
        <f t="shared" si="6"/>
        <v>-2800000000</v>
      </c>
      <c r="J31" s="16">
        <v>3808592387.7399998</v>
      </c>
      <c r="K31" s="9">
        <f t="shared" si="7"/>
        <v>-1008592387.7399998</v>
      </c>
      <c r="L31" s="78"/>
      <c r="M31" s="78"/>
      <c r="N31" s="72"/>
      <c r="O31" s="72"/>
      <c r="P31" s="72"/>
      <c r="Q31" s="72"/>
      <c r="R31" s="72"/>
      <c r="S31" s="72"/>
      <c r="T31" s="72"/>
      <c r="U31" s="72"/>
      <c r="V31" s="71"/>
    </row>
    <row r="32" spans="1:22" ht="12.75" customHeight="1">
      <c r="A32" s="17"/>
      <c r="C32" s="14"/>
      <c r="D32" s="1" t="s">
        <v>80</v>
      </c>
      <c r="E32" s="1" t="s">
        <v>104</v>
      </c>
      <c r="G32" s="15">
        <v>0</v>
      </c>
      <c r="H32" s="15">
        <v>0</v>
      </c>
      <c r="I32" s="9">
        <f t="shared" si="6"/>
        <v>0</v>
      </c>
      <c r="J32" s="16">
        <v>1286330133.7099998</v>
      </c>
      <c r="K32" s="9">
        <f t="shared" si="7"/>
        <v>-1286330133.7099998</v>
      </c>
      <c r="L32" s="78"/>
      <c r="M32" s="78"/>
      <c r="N32" s="72"/>
      <c r="O32" s="72"/>
      <c r="P32" s="72"/>
      <c r="Q32" s="72"/>
      <c r="R32" s="72"/>
      <c r="S32" s="72"/>
      <c r="T32" s="72"/>
      <c r="U32" s="72"/>
      <c r="V32" s="71"/>
    </row>
    <row r="33" spans="1:23" ht="12.75" customHeight="1">
      <c r="A33" s="129" t="s">
        <v>105</v>
      </c>
      <c r="B33" s="128"/>
      <c r="C33" s="14" t="s">
        <v>106</v>
      </c>
      <c r="G33" s="15">
        <v>0</v>
      </c>
      <c r="H33" s="15">
        <v>392290000</v>
      </c>
      <c r="I33" s="9">
        <f t="shared" si="6"/>
        <v>-392290000</v>
      </c>
      <c r="J33" s="16">
        <v>0</v>
      </c>
      <c r="K33" s="9">
        <f t="shared" si="7"/>
        <v>392290000</v>
      </c>
      <c r="L33" s="78"/>
      <c r="M33" s="78"/>
      <c r="N33" s="72"/>
      <c r="O33" s="72"/>
      <c r="P33" s="72"/>
      <c r="Q33" s="72"/>
      <c r="R33" s="72"/>
      <c r="S33" s="72"/>
      <c r="T33" s="72"/>
      <c r="U33" s="72"/>
      <c r="V33" s="71"/>
    </row>
    <row r="34" spans="1:23" ht="12.75" customHeight="1">
      <c r="A34" s="17"/>
      <c r="C34" s="14"/>
      <c r="G34" s="15"/>
      <c r="H34" s="15"/>
      <c r="I34" s="15"/>
      <c r="J34" s="16"/>
      <c r="K34" s="15"/>
      <c r="L34" s="78"/>
      <c r="M34" s="78"/>
      <c r="N34" s="72"/>
      <c r="O34" s="72"/>
      <c r="P34" s="72"/>
      <c r="Q34" s="72"/>
      <c r="R34" s="72"/>
      <c r="S34" s="72"/>
      <c r="T34" s="72"/>
      <c r="U34" s="72"/>
      <c r="V34" s="71"/>
    </row>
    <row r="35" spans="1:23" ht="12.75" customHeight="1">
      <c r="A35" s="18" t="s">
        <v>107</v>
      </c>
      <c r="B35" s="18"/>
      <c r="C35" s="18"/>
      <c r="D35" s="18"/>
      <c r="E35" s="18"/>
      <c r="F35" s="18"/>
      <c r="G35" s="11">
        <f>SUM(G22:G34)+G15+G20</f>
        <v>22200000000</v>
      </c>
      <c r="H35" s="11">
        <f>SUM(H22:H34)+H15+H20</f>
        <v>25398218043</v>
      </c>
      <c r="I35" s="11">
        <f>SUM(I22:I34)+I15+I20</f>
        <v>-3198218043</v>
      </c>
      <c r="J35" s="11">
        <f>SUM(J22:J34)+J15+J20</f>
        <v>18776425833.790001</v>
      </c>
      <c r="K35" s="11">
        <f>SUM(K22:K34)+K15+K20</f>
        <v>6621792209.21</v>
      </c>
      <c r="L35" s="13"/>
      <c r="M35" s="13"/>
      <c r="N35" s="74"/>
      <c r="O35" s="74"/>
      <c r="P35" s="74"/>
      <c r="Q35" s="74"/>
      <c r="R35" s="75"/>
      <c r="S35" s="75"/>
      <c r="T35" s="75"/>
      <c r="U35" s="75"/>
      <c r="V35" s="75"/>
      <c r="W35" s="19"/>
    </row>
    <row r="36" spans="1:23" ht="12.75" customHeight="1">
      <c r="A36" s="4"/>
      <c r="B36" s="4"/>
      <c r="C36" s="4"/>
      <c r="D36" s="4"/>
      <c r="E36" s="4"/>
      <c r="F36" s="4"/>
      <c r="G36" s="12"/>
      <c r="H36" s="12"/>
      <c r="I36" s="12"/>
      <c r="J36" s="12"/>
      <c r="K36" s="12"/>
      <c r="L36" s="13"/>
      <c r="M36" s="13"/>
      <c r="N36" s="74"/>
      <c r="O36" s="74"/>
      <c r="P36" s="74"/>
      <c r="Q36" s="74"/>
      <c r="R36" s="75"/>
      <c r="S36" s="75"/>
      <c r="T36" s="75"/>
      <c r="U36" s="75"/>
      <c r="V36" s="75"/>
      <c r="W36" s="19"/>
    </row>
    <row r="37" spans="1:23" ht="12.75" customHeight="1">
      <c r="A37" s="4" t="s">
        <v>108</v>
      </c>
      <c r="B37" s="4"/>
      <c r="C37" s="2"/>
      <c r="D37" s="2"/>
      <c r="E37" s="2"/>
      <c r="F37" s="2"/>
      <c r="G37" s="9"/>
      <c r="H37" s="9"/>
      <c r="I37" s="9"/>
      <c r="J37" s="2"/>
      <c r="K37" s="9"/>
      <c r="L37" s="10"/>
      <c r="M37" s="10"/>
      <c r="N37" s="76"/>
      <c r="O37" s="76"/>
      <c r="P37" s="76"/>
      <c r="Q37" s="76"/>
      <c r="R37" s="71"/>
      <c r="S37" s="71"/>
      <c r="T37" s="71"/>
      <c r="U37" s="71"/>
      <c r="V37" s="71"/>
    </row>
    <row r="38" spans="1:23" ht="12.75" customHeight="1">
      <c r="A38" s="4" t="s">
        <v>109</v>
      </c>
      <c r="B38" s="2"/>
      <c r="C38" s="2"/>
      <c r="D38" s="2"/>
      <c r="E38" s="2"/>
      <c r="F38" s="2"/>
      <c r="G38" s="9"/>
      <c r="H38" s="9"/>
      <c r="I38" s="9"/>
      <c r="J38" s="2"/>
      <c r="K38" s="9"/>
      <c r="L38" s="10"/>
      <c r="M38" s="10"/>
      <c r="N38" s="76"/>
      <c r="O38" s="76"/>
      <c r="P38" s="76"/>
      <c r="Q38" s="76"/>
      <c r="R38" s="71"/>
      <c r="S38" s="71"/>
      <c r="T38" s="71"/>
      <c r="U38" s="71"/>
      <c r="V38" s="71"/>
    </row>
    <row r="39" spans="1:23" ht="12.75" customHeight="1">
      <c r="A39" s="4"/>
      <c r="B39" s="4" t="s">
        <v>110</v>
      </c>
      <c r="C39" s="2"/>
      <c r="D39" s="2"/>
      <c r="E39" s="2"/>
      <c r="F39" s="2"/>
      <c r="G39" s="9"/>
      <c r="H39" s="9"/>
      <c r="I39" s="9"/>
      <c r="J39" s="2"/>
      <c r="K39" s="9"/>
      <c r="L39" s="10"/>
      <c r="M39" s="10"/>
      <c r="N39" s="76"/>
      <c r="O39" s="76"/>
      <c r="P39" s="76"/>
      <c r="Q39" s="76"/>
      <c r="R39" s="71"/>
      <c r="S39" s="71"/>
      <c r="T39" s="71"/>
      <c r="U39" s="71"/>
      <c r="V39" s="71"/>
    </row>
    <row r="40" spans="1:23" ht="12.75" customHeight="1">
      <c r="A40" s="2"/>
      <c r="B40" s="2"/>
      <c r="C40" s="2"/>
      <c r="D40" s="2" t="s">
        <v>111</v>
      </c>
      <c r="E40" s="2"/>
      <c r="F40" s="2"/>
      <c r="G40" s="9">
        <v>1608326005</v>
      </c>
      <c r="H40" s="9">
        <v>1603517138</v>
      </c>
      <c r="I40" s="9">
        <f t="shared" ref="I40:I50" si="8">+G40-H40</f>
        <v>4808867</v>
      </c>
      <c r="J40" s="2">
        <v>1375524072.2299969</v>
      </c>
      <c r="K40" s="9">
        <f t="shared" ref="K40:K50" si="9">+H40-J40</f>
        <v>227993065.77000308</v>
      </c>
      <c r="L40" s="10">
        <v>1537679757.6719999</v>
      </c>
      <c r="M40" s="10"/>
      <c r="N40" s="76"/>
      <c r="O40" s="76"/>
      <c r="P40" s="76"/>
      <c r="Q40" s="76"/>
      <c r="R40" s="71"/>
      <c r="S40" s="71"/>
      <c r="T40" s="71"/>
      <c r="U40" s="71"/>
      <c r="V40" s="71"/>
    </row>
    <row r="41" spans="1:23" ht="12.75" customHeight="1">
      <c r="A41" s="2"/>
      <c r="B41" s="2"/>
      <c r="C41" s="2"/>
      <c r="D41" s="2" t="s">
        <v>31</v>
      </c>
      <c r="E41" s="2"/>
      <c r="F41" s="2"/>
      <c r="G41" s="9">
        <v>1549189443</v>
      </c>
      <c r="H41" s="9">
        <v>1701728943</v>
      </c>
      <c r="I41" s="9">
        <f t="shared" si="8"/>
        <v>-152539500</v>
      </c>
      <c r="J41" s="2">
        <v>1671842290.0500007</v>
      </c>
      <c r="K41" s="9">
        <f t="shared" si="9"/>
        <v>29886652.949999332</v>
      </c>
      <c r="L41" s="10">
        <v>923930301.76123285</v>
      </c>
      <c r="M41" s="10"/>
      <c r="N41" s="76"/>
      <c r="O41" s="76"/>
      <c r="P41" s="76"/>
      <c r="Q41" s="76"/>
      <c r="R41" s="71"/>
      <c r="S41" s="71"/>
      <c r="T41" s="71"/>
      <c r="U41" s="71"/>
      <c r="V41" s="71"/>
    </row>
    <row r="42" spans="1:23" ht="12.75" customHeight="1">
      <c r="A42" s="2"/>
      <c r="B42" s="2"/>
      <c r="C42" s="2"/>
      <c r="D42" s="2" t="s">
        <v>112</v>
      </c>
      <c r="E42" s="2"/>
      <c r="F42" s="2"/>
      <c r="G42" s="9">
        <v>173865822</v>
      </c>
      <c r="H42" s="9">
        <v>173865822</v>
      </c>
      <c r="I42" s="9">
        <f t="shared" si="8"/>
        <v>0</v>
      </c>
      <c r="J42" s="2">
        <v>189356243</v>
      </c>
      <c r="K42" s="9">
        <f t="shared" si="9"/>
        <v>-15490421</v>
      </c>
      <c r="L42" s="10">
        <v>84314982.193590164</v>
      </c>
      <c r="M42" s="10"/>
      <c r="N42" s="76"/>
      <c r="O42" s="76"/>
      <c r="P42" s="76"/>
      <c r="Q42" s="76"/>
      <c r="R42" s="71"/>
      <c r="S42" s="71"/>
      <c r="T42" s="71"/>
      <c r="U42" s="71"/>
      <c r="V42" s="71"/>
    </row>
    <row r="43" spans="1:23" ht="12.75" customHeight="1">
      <c r="A43" s="2"/>
      <c r="B43" s="4" t="s">
        <v>113</v>
      </c>
      <c r="C43" s="2"/>
      <c r="D43" s="2"/>
      <c r="E43" s="2"/>
      <c r="F43" s="2"/>
      <c r="G43" s="9"/>
      <c r="H43" s="9"/>
      <c r="I43" s="9"/>
      <c r="J43" s="2"/>
      <c r="K43" s="9"/>
      <c r="L43" s="10"/>
      <c r="M43" s="10"/>
      <c r="N43" s="76"/>
      <c r="O43" s="76"/>
      <c r="P43" s="76"/>
      <c r="Q43" s="76"/>
      <c r="R43" s="71"/>
      <c r="S43" s="71"/>
      <c r="T43" s="71"/>
      <c r="U43" s="71"/>
      <c r="V43" s="71"/>
    </row>
    <row r="44" spans="1:23" ht="12.75" customHeight="1">
      <c r="A44" s="2"/>
      <c r="B44" s="2"/>
      <c r="C44" s="2"/>
      <c r="D44" s="2" t="s">
        <v>111</v>
      </c>
      <c r="E44" s="2"/>
      <c r="F44" s="2"/>
      <c r="G44" s="9">
        <v>3524124866</v>
      </c>
      <c r="H44" s="9">
        <v>3566624990</v>
      </c>
      <c r="I44" s="9">
        <f t="shared" si="8"/>
        <v>-42500124</v>
      </c>
      <c r="J44" s="2">
        <v>3259255216.8300014</v>
      </c>
      <c r="K44" s="9">
        <f t="shared" si="9"/>
        <v>307369773.16999865</v>
      </c>
      <c r="L44" s="10">
        <v>2819079555.7319999</v>
      </c>
      <c r="M44" s="10"/>
      <c r="N44" s="76"/>
      <c r="O44" s="76"/>
      <c r="P44" s="76"/>
      <c r="Q44" s="76"/>
      <c r="R44" s="71"/>
      <c r="S44" s="71"/>
      <c r="T44" s="71"/>
      <c r="U44" s="71"/>
      <c r="V44" s="71"/>
    </row>
    <row r="45" spans="1:23" ht="12.75" customHeight="1">
      <c r="A45" s="2"/>
      <c r="B45" s="2"/>
      <c r="C45" s="2"/>
      <c r="D45" s="2" t="s">
        <v>31</v>
      </c>
      <c r="E45" s="2"/>
      <c r="F45" s="2"/>
      <c r="G45" s="9">
        <v>8316988470</v>
      </c>
      <c r="H45" s="9">
        <v>7837122704</v>
      </c>
      <c r="I45" s="9">
        <f t="shared" si="8"/>
        <v>479865766</v>
      </c>
      <c r="J45" s="2">
        <v>7657750597.6800003</v>
      </c>
      <c r="K45" s="9">
        <f t="shared" si="9"/>
        <v>179372106.31999969</v>
      </c>
      <c r="L45" s="10">
        <v>5896720375.2113447</v>
      </c>
      <c r="M45" s="10"/>
      <c r="N45" s="76"/>
      <c r="O45" s="76"/>
      <c r="P45" s="76"/>
      <c r="Q45" s="76"/>
      <c r="R45" s="71"/>
      <c r="S45" s="71"/>
      <c r="T45" s="71"/>
      <c r="U45" s="71"/>
      <c r="V45" s="71"/>
    </row>
    <row r="46" spans="1:23" ht="12.75" customHeight="1">
      <c r="A46" s="2"/>
      <c r="B46" s="2"/>
      <c r="C46" s="2"/>
      <c r="D46" s="2" t="s">
        <v>112</v>
      </c>
      <c r="E46" s="2"/>
      <c r="F46" s="2"/>
      <c r="G46" s="9">
        <v>115683499</v>
      </c>
      <c r="H46" s="9">
        <v>2915683499</v>
      </c>
      <c r="I46" s="9">
        <f t="shared" si="8"/>
        <v>-2800000000</v>
      </c>
      <c r="J46" s="2">
        <v>2241169160.5999999</v>
      </c>
      <c r="K46" s="9">
        <f t="shared" si="9"/>
        <v>674514338.4000001</v>
      </c>
      <c r="L46" s="10">
        <v>331759180.30322617</v>
      </c>
      <c r="M46" s="10"/>
      <c r="N46" s="76"/>
      <c r="O46" s="76"/>
      <c r="P46" s="76"/>
      <c r="Q46" s="76"/>
      <c r="R46" s="71"/>
      <c r="S46" s="71"/>
      <c r="T46" s="71"/>
      <c r="U46" s="71"/>
      <c r="V46" s="71"/>
    </row>
    <row r="47" spans="1:23" ht="12.75" customHeight="1">
      <c r="A47" s="2"/>
      <c r="B47" s="4" t="s">
        <v>114</v>
      </c>
      <c r="C47" s="2"/>
      <c r="D47" s="2"/>
      <c r="E47" s="2"/>
      <c r="F47" s="2"/>
      <c r="G47" s="9"/>
      <c r="H47" s="9"/>
      <c r="I47" s="9"/>
      <c r="J47" s="2"/>
      <c r="K47" s="9"/>
      <c r="L47" s="10"/>
      <c r="M47" s="10"/>
      <c r="N47" s="76"/>
      <c r="O47" s="76"/>
      <c r="P47" s="76"/>
      <c r="Q47" s="76"/>
      <c r="R47" s="71"/>
      <c r="S47" s="71"/>
      <c r="T47" s="71"/>
      <c r="U47" s="71"/>
      <c r="V47" s="71"/>
    </row>
    <row r="48" spans="1:23" ht="12.75" customHeight="1">
      <c r="A48" s="2"/>
      <c r="B48" s="2"/>
      <c r="C48" s="2"/>
      <c r="D48" s="2" t="s">
        <v>111</v>
      </c>
      <c r="E48" s="2"/>
      <c r="F48" s="2"/>
      <c r="G48" s="9">
        <v>660034550</v>
      </c>
      <c r="H48" s="9">
        <v>660034550</v>
      </c>
      <c r="I48" s="9">
        <f t="shared" si="8"/>
        <v>0</v>
      </c>
      <c r="J48" s="2">
        <v>540412209.2300005</v>
      </c>
      <c r="K48" s="9">
        <f t="shared" si="9"/>
        <v>119622340.7699995</v>
      </c>
      <c r="L48" s="10">
        <v>512559919.22399998</v>
      </c>
      <c r="M48" s="10"/>
      <c r="N48" s="76"/>
      <c r="O48" s="76"/>
      <c r="P48" s="76"/>
      <c r="Q48" s="76"/>
      <c r="R48" s="71"/>
      <c r="S48" s="71"/>
      <c r="T48" s="71"/>
      <c r="U48" s="71"/>
      <c r="V48" s="71"/>
    </row>
    <row r="49" spans="1:22" ht="12.75" customHeight="1">
      <c r="A49" s="2"/>
      <c r="B49" s="2"/>
      <c r="C49" s="2"/>
      <c r="D49" s="2" t="s">
        <v>31</v>
      </c>
      <c r="E49" s="2"/>
      <c r="F49" s="2"/>
      <c r="G49" s="9">
        <v>933327074</v>
      </c>
      <c r="H49" s="9">
        <v>904474774</v>
      </c>
      <c r="I49" s="9">
        <f t="shared" si="8"/>
        <v>28852300</v>
      </c>
      <c r="J49" s="2">
        <v>887843025.98999929</v>
      </c>
      <c r="K49" s="9">
        <f t="shared" si="9"/>
        <v>16631748.010000706</v>
      </c>
      <c r="L49" s="10">
        <v>489851709.5802049</v>
      </c>
      <c r="M49" s="10"/>
      <c r="N49" s="76"/>
      <c r="O49" s="76"/>
      <c r="P49" s="76"/>
      <c r="Q49" s="76"/>
      <c r="R49" s="71"/>
      <c r="S49" s="71"/>
      <c r="T49" s="71"/>
      <c r="U49" s="71"/>
      <c r="V49" s="71"/>
    </row>
    <row r="50" spans="1:22" ht="12.75" customHeight="1">
      <c r="A50" s="2"/>
      <c r="B50" s="2"/>
      <c r="C50" s="2"/>
      <c r="D50" s="2" t="s">
        <v>112</v>
      </c>
      <c r="E50" s="2"/>
      <c r="F50" s="2"/>
      <c r="G50" s="9">
        <v>9000000</v>
      </c>
      <c r="H50" s="9">
        <v>392094000</v>
      </c>
      <c r="I50" s="9">
        <f t="shared" si="8"/>
        <v>-383094000</v>
      </c>
      <c r="J50" s="2">
        <v>372461267.25999993</v>
      </c>
      <c r="K50" s="9">
        <f t="shared" si="9"/>
        <v>19632732.740000069</v>
      </c>
      <c r="L50" s="10">
        <v>4153271501.4827633</v>
      </c>
      <c r="M50" s="10"/>
      <c r="N50" s="76"/>
      <c r="O50" s="76"/>
      <c r="P50" s="76"/>
      <c r="Q50" s="76"/>
      <c r="R50" s="71"/>
      <c r="S50" s="71"/>
      <c r="T50" s="71"/>
      <c r="U50" s="71"/>
      <c r="V50" s="71"/>
    </row>
    <row r="51" spans="1:22" ht="12.75" customHeight="1">
      <c r="A51" s="2"/>
      <c r="B51" s="4" t="s">
        <v>115</v>
      </c>
      <c r="C51" s="2"/>
      <c r="D51" s="2"/>
      <c r="E51" s="2"/>
      <c r="F51" s="2"/>
      <c r="G51" s="9"/>
      <c r="H51" s="9"/>
      <c r="I51" s="9"/>
      <c r="J51" s="2"/>
      <c r="K51" s="9"/>
      <c r="L51" s="10"/>
      <c r="M51" s="10"/>
      <c r="N51" s="76"/>
      <c r="O51" s="76"/>
      <c r="P51" s="76"/>
      <c r="Q51" s="76"/>
      <c r="R51" s="71"/>
      <c r="S51" s="71"/>
      <c r="T51" s="71"/>
      <c r="U51" s="71"/>
      <c r="V51" s="71"/>
    </row>
    <row r="52" spans="1:22" ht="12.75" customHeight="1">
      <c r="A52" s="2"/>
      <c r="B52" s="2"/>
      <c r="C52" s="2" t="s">
        <v>116</v>
      </c>
      <c r="D52" s="2"/>
      <c r="E52" s="2"/>
      <c r="F52" s="2"/>
      <c r="G52" s="9"/>
      <c r="H52" s="9"/>
      <c r="I52" s="9"/>
      <c r="J52" s="2"/>
      <c r="K52" s="9"/>
      <c r="L52" s="10"/>
      <c r="M52" s="10"/>
      <c r="N52" s="76"/>
      <c r="O52" s="76"/>
      <c r="P52" s="76"/>
      <c r="Q52" s="76"/>
      <c r="R52" s="71"/>
      <c r="S52" s="71"/>
      <c r="T52" s="71"/>
      <c r="U52" s="71"/>
      <c r="V52" s="71"/>
    </row>
    <row r="53" spans="1:22" ht="12.75" customHeight="1">
      <c r="A53" s="2"/>
      <c r="B53" s="2"/>
      <c r="C53" s="2"/>
      <c r="D53" s="2" t="s">
        <v>117</v>
      </c>
      <c r="E53" s="2"/>
      <c r="F53" s="2"/>
      <c r="G53" s="9">
        <v>585965705</v>
      </c>
      <c r="H53" s="9">
        <v>585965705</v>
      </c>
      <c r="I53" s="9">
        <f t="shared" ref="I53:I64" si="10">+G53-H53</f>
        <v>0</v>
      </c>
      <c r="J53" s="2">
        <v>265928655.64999998</v>
      </c>
      <c r="K53" s="9">
        <f t="shared" ref="K53:K64" si="11">+H53-J53</f>
        <v>320037049.35000002</v>
      </c>
      <c r="L53" s="10">
        <v>82405600.519999996</v>
      </c>
      <c r="M53" s="10"/>
      <c r="N53" s="76"/>
      <c r="O53" s="76"/>
      <c r="P53" s="76"/>
      <c r="Q53" s="76"/>
      <c r="R53" s="71"/>
      <c r="S53" s="71"/>
      <c r="T53" s="71"/>
      <c r="U53" s="71"/>
      <c r="V53" s="71"/>
    </row>
    <row r="54" spans="1:22" ht="12.75" customHeight="1">
      <c r="A54" s="2"/>
      <c r="B54" s="2"/>
      <c r="C54" s="2"/>
      <c r="D54" s="2" t="s">
        <v>118</v>
      </c>
      <c r="E54" s="2"/>
      <c r="F54" s="2"/>
      <c r="G54" s="9">
        <v>69444445</v>
      </c>
      <c r="H54" s="9">
        <v>69444445</v>
      </c>
      <c r="I54" s="9">
        <f t="shared" si="10"/>
        <v>0</v>
      </c>
      <c r="J54" s="2">
        <v>67853498.879999995</v>
      </c>
      <c r="K54" s="9">
        <f t="shared" si="11"/>
        <v>1590946.1200000048</v>
      </c>
      <c r="L54" s="10">
        <v>0</v>
      </c>
      <c r="M54" s="10"/>
      <c r="N54" s="76"/>
      <c r="O54" s="76"/>
      <c r="P54" s="76"/>
      <c r="Q54" s="76"/>
      <c r="R54" s="71"/>
      <c r="S54" s="71"/>
      <c r="T54" s="71"/>
      <c r="U54" s="71"/>
      <c r="V54" s="71"/>
    </row>
    <row r="55" spans="1:22" ht="12.75" customHeight="1">
      <c r="A55" s="2"/>
      <c r="B55" s="2"/>
      <c r="C55" s="2" t="s">
        <v>119</v>
      </c>
      <c r="D55" s="2"/>
      <c r="E55" s="2"/>
      <c r="F55" s="2"/>
      <c r="G55" s="9"/>
      <c r="H55" s="9"/>
      <c r="I55" s="9"/>
      <c r="J55" s="2"/>
      <c r="K55" s="9"/>
      <c r="L55" s="10"/>
      <c r="M55" s="10"/>
      <c r="N55" s="76"/>
      <c r="O55" s="76"/>
      <c r="P55" s="76"/>
      <c r="Q55" s="76"/>
      <c r="R55" s="71"/>
      <c r="S55" s="71"/>
      <c r="T55" s="71"/>
      <c r="U55" s="71"/>
      <c r="V55" s="71"/>
    </row>
    <row r="56" spans="1:22" ht="12.75" customHeight="1">
      <c r="A56" s="2"/>
      <c r="B56" s="2"/>
      <c r="C56" s="2"/>
      <c r="D56" s="2" t="s">
        <v>31</v>
      </c>
      <c r="E56" s="2"/>
      <c r="F56" s="2"/>
      <c r="G56" s="9">
        <v>672480497.14999998</v>
      </c>
      <c r="H56" s="9">
        <v>672480497.14999998</v>
      </c>
      <c r="I56" s="9">
        <f t="shared" si="10"/>
        <v>0</v>
      </c>
      <c r="J56" s="2">
        <v>82447242.5</v>
      </c>
      <c r="K56" s="9">
        <f t="shared" si="11"/>
        <v>590033254.64999998</v>
      </c>
      <c r="L56" s="10">
        <v>233277891</v>
      </c>
      <c r="M56" s="10"/>
      <c r="N56" s="76"/>
      <c r="O56" s="76"/>
      <c r="P56" s="76"/>
      <c r="Q56" s="76"/>
      <c r="R56" s="71"/>
      <c r="S56" s="71"/>
      <c r="T56" s="71"/>
      <c r="U56" s="71"/>
      <c r="V56" s="71"/>
    </row>
    <row r="57" spans="1:22" ht="12.75" customHeight="1">
      <c r="A57" s="2"/>
      <c r="B57" s="2"/>
      <c r="C57" s="2"/>
      <c r="D57" s="2" t="s">
        <v>112</v>
      </c>
      <c r="E57" s="2"/>
      <c r="F57" s="2"/>
      <c r="G57" s="9">
        <v>130000000</v>
      </c>
      <c r="H57" s="9">
        <v>130000000</v>
      </c>
      <c r="I57" s="9">
        <f t="shared" si="10"/>
        <v>0</v>
      </c>
      <c r="J57" s="2">
        <v>13000000</v>
      </c>
      <c r="K57" s="9">
        <f t="shared" si="11"/>
        <v>117000000</v>
      </c>
      <c r="L57" s="10">
        <v>300088252.01999998</v>
      </c>
      <c r="M57" s="10"/>
      <c r="N57" s="76"/>
      <c r="O57" s="76"/>
      <c r="P57" s="76"/>
      <c r="Q57" s="76"/>
      <c r="R57" s="71"/>
      <c r="S57" s="71"/>
      <c r="T57" s="71"/>
      <c r="U57" s="71"/>
      <c r="V57" s="71"/>
    </row>
    <row r="58" spans="1:22" ht="12.75" customHeight="1">
      <c r="A58" s="2"/>
      <c r="B58" s="2"/>
      <c r="C58" s="2" t="s">
        <v>120</v>
      </c>
      <c r="D58" s="2"/>
      <c r="E58" s="2"/>
      <c r="F58" s="2"/>
      <c r="G58" s="9"/>
      <c r="H58" s="9"/>
      <c r="I58" s="9"/>
      <c r="J58" s="2"/>
      <c r="K58" s="9"/>
      <c r="L58" s="10"/>
      <c r="M58" s="10"/>
      <c r="N58" s="76"/>
      <c r="O58" s="76"/>
      <c r="P58" s="76"/>
      <c r="Q58" s="76"/>
      <c r="R58" s="71"/>
      <c r="S58" s="71"/>
      <c r="T58" s="71"/>
      <c r="U58" s="71"/>
      <c r="V58" s="71"/>
    </row>
    <row r="59" spans="1:22" ht="12.75" customHeight="1">
      <c r="A59" s="2"/>
      <c r="B59" s="2"/>
      <c r="C59" s="2"/>
      <c r="D59" s="2" t="s">
        <v>31</v>
      </c>
      <c r="E59" s="2"/>
      <c r="F59" s="2"/>
      <c r="G59" s="9">
        <v>302958291</v>
      </c>
      <c r="H59" s="9">
        <v>197848403</v>
      </c>
      <c r="I59" s="9">
        <f t="shared" si="10"/>
        <v>105109888</v>
      </c>
      <c r="J59" s="2">
        <v>175577400</v>
      </c>
      <c r="K59" s="9">
        <f t="shared" si="11"/>
        <v>22271003</v>
      </c>
      <c r="L59" s="10">
        <v>0</v>
      </c>
      <c r="M59" s="10"/>
      <c r="N59" s="76"/>
      <c r="O59" s="76"/>
      <c r="P59" s="76"/>
      <c r="Q59" s="76"/>
      <c r="R59" s="71"/>
      <c r="S59" s="71"/>
      <c r="T59" s="71"/>
      <c r="U59" s="71"/>
      <c r="V59" s="71"/>
    </row>
    <row r="60" spans="1:22" ht="12.75" customHeight="1">
      <c r="A60" s="2"/>
      <c r="B60" s="2"/>
      <c r="C60" s="2"/>
      <c r="D60" s="2" t="s">
        <v>112</v>
      </c>
      <c r="E60" s="2"/>
      <c r="F60" s="2"/>
      <c r="G60" s="9">
        <v>692763806.39999998</v>
      </c>
      <c r="H60" s="9">
        <v>802990803.39999998</v>
      </c>
      <c r="I60" s="9">
        <f t="shared" si="10"/>
        <v>-110226997</v>
      </c>
      <c r="J60" s="2">
        <v>277637840</v>
      </c>
      <c r="K60" s="9">
        <f t="shared" si="11"/>
        <v>525352963.39999998</v>
      </c>
      <c r="L60" s="10"/>
      <c r="M60" s="10"/>
      <c r="N60" s="76"/>
      <c r="O60" s="76"/>
      <c r="P60" s="76"/>
      <c r="Q60" s="76"/>
      <c r="R60" s="71"/>
      <c r="S60" s="71"/>
      <c r="T60" s="71"/>
      <c r="U60" s="71"/>
      <c r="V60" s="71"/>
    </row>
    <row r="61" spans="1:22" ht="12.75" customHeight="1">
      <c r="A61" s="2"/>
      <c r="B61" s="2"/>
      <c r="C61" s="2" t="s">
        <v>121</v>
      </c>
      <c r="D61" s="2"/>
      <c r="E61" s="2"/>
      <c r="F61" s="2"/>
      <c r="G61" s="9"/>
      <c r="H61" s="9"/>
      <c r="I61" s="9"/>
      <c r="J61" s="2"/>
      <c r="K61" s="9"/>
      <c r="L61" s="10"/>
      <c r="M61" s="10"/>
      <c r="N61" s="76"/>
      <c r="O61" s="76"/>
      <c r="P61" s="76"/>
      <c r="Q61" s="76"/>
      <c r="R61" s="71"/>
      <c r="S61" s="71"/>
      <c r="T61" s="71"/>
      <c r="U61" s="71"/>
      <c r="V61" s="71"/>
    </row>
    <row r="62" spans="1:22" ht="12.75" customHeight="1">
      <c r="A62" s="2"/>
      <c r="B62" s="2"/>
      <c r="C62" s="2"/>
      <c r="D62" s="2" t="s">
        <v>31</v>
      </c>
      <c r="E62" s="2"/>
      <c r="F62" s="2"/>
      <c r="G62" s="9">
        <v>851500000</v>
      </c>
      <c r="H62" s="9">
        <v>1169350500</v>
      </c>
      <c r="I62" s="9">
        <f t="shared" si="10"/>
        <v>-317850500</v>
      </c>
      <c r="J62" s="2">
        <v>1064624370.9699986</v>
      </c>
      <c r="K62" s="9">
        <f t="shared" si="11"/>
        <v>104726129.0300014</v>
      </c>
      <c r="L62" s="10">
        <v>863600000</v>
      </c>
      <c r="M62" s="10"/>
      <c r="N62" s="76"/>
      <c r="O62" s="76"/>
      <c r="P62" s="76"/>
      <c r="Q62" s="76"/>
      <c r="R62" s="71"/>
      <c r="S62" s="71"/>
      <c r="T62" s="71"/>
      <c r="U62" s="71"/>
      <c r="V62" s="71"/>
    </row>
    <row r="63" spans="1:22" ht="12.75" customHeight="1">
      <c r="A63" s="2"/>
      <c r="B63" s="2"/>
      <c r="C63" s="2" t="s">
        <v>122</v>
      </c>
      <c r="D63" s="2"/>
      <c r="E63" s="2"/>
      <c r="F63" s="2"/>
      <c r="G63" s="9"/>
      <c r="H63" s="9"/>
      <c r="I63" s="9"/>
      <c r="J63" s="2"/>
      <c r="K63" s="9"/>
      <c r="L63" s="10"/>
      <c r="M63" s="10"/>
      <c r="N63" s="76"/>
      <c r="O63" s="76"/>
      <c r="P63" s="76"/>
      <c r="Q63" s="76"/>
      <c r="R63" s="71"/>
      <c r="S63" s="71"/>
      <c r="T63" s="71"/>
      <c r="U63" s="71"/>
      <c r="V63" s="71"/>
    </row>
    <row r="64" spans="1:22" ht="12.75" customHeight="1">
      <c r="A64" s="2"/>
      <c r="B64" s="2"/>
      <c r="C64" s="2"/>
      <c r="D64" s="2" t="s">
        <v>31</v>
      </c>
      <c r="E64" s="2"/>
      <c r="F64" s="2"/>
      <c r="G64" s="9">
        <v>10764000</v>
      </c>
      <c r="H64" s="9">
        <v>10764000</v>
      </c>
      <c r="I64" s="9">
        <f t="shared" si="10"/>
        <v>0</v>
      </c>
      <c r="J64" s="2">
        <v>10764000</v>
      </c>
      <c r="K64" s="9">
        <f t="shared" si="11"/>
        <v>0</v>
      </c>
      <c r="L64" s="10">
        <v>898995088.67064023</v>
      </c>
      <c r="M64" s="10"/>
      <c r="N64" s="76"/>
      <c r="O64" s="76"/>
      <c r="P64" s="76"/>
      <c r="Q64" s="76"/>
      <c r="R64" s="71"/>
      <c r="S64" s="71"/>
      <c r="T64" s="71"/>
      <c r="U64" s="71"/>
      <c r="V64" s="71"/>
    </row>
    <row r="65" spans="1:23" ht="12.75" customHeight="1">
      <c r="A65" s="18"/>
      <c r="B65" s="18"/>
      <c r="C65" s="18" t="s">
        <v>123</v>
      </c>
      <c r="D65" s="18"/>
      <c r="E65" s="18"/>
      <c r="F65" s="18"/>
      <c r="G65" s="11">
        <f t="shared" ref="G65:K65" si="12">SUM(G40:G64)</f>
        <v>20206416473.550003</v>
      </c>
      <c r="H65" s="11">
        <f t="shared" si="12"/>
        <v>23393990773.550003</v>
      </c>
      <c r="I65" s="11">
        <f t="shared" si="12"/>
        <v>-3187574300</v>
      </c>
      <c r="J65" s="11">
        <f t="shared" si="12"/>
        <v>20153447090.869995</v>
      </c>
      <c r="K65" s="11">
        <f t="shared" si="12"/>
        <v>3240543682.6800022</v>
      </c>
      <c r="L65" s="13"/>
      <c r="M65" s="13"/>
      <c r="N65" s="74"/>
      <c r="O65" s="74"/>
      <c r="P65" s="74"/>
      <c r="Q65" s="74"/>
      <c r="R65" s="75"/>
      <c r="S65" s="75"/>
      <c r="T65" s="75"/>
      <c r="U65" s="75"/>
      <c r="V65" s="75"/>
      <c r="W65" s="19"/>
    </row>
    <row r="66" spans="1:23" ht="12.75" customHeight="1">
      <c r="A66" s="2"/>
      <c r="B66" s="2"/>
      <c r="C66" s="2"/>
      <c r="D66" s="2"/>
      <c r="E66" s="2"/>
      <c r="F66" s="2"/>
      <c r="G66" s="12"/>
      <c r="H66" s="9"/>
      <c r="I66" s="9"/>
      <c r="J66" s="9"/>
      <c r="K66" s="9"/>
      <c r="L66" s="10"/>
      <c r="M66" s="10"/>
      <c r="N66" s="76"/>
      <c r="O66" s="76"/>
      <c r="P66" s="76"/>
      <c r="Q66" s="76"/>
      <c r="R66" s="71"/>
      <c r="S66" s="71"/>
      <c r="T66" s="71"/>
      <c r="U66" s="71"/>
      <c r="V66" s="71"/>
    </row>
    <row r="67" spans="1:23" ht="12.75" customHeight="1">
      <c r="A67" s="117" t="s">
        <v>124</v>
      </c>
      <c r="B67" s="118"/>
      <c r="C67" s="118"/>
      <c r="D67" s="118"/>
      <c r="E67" s="118"/>
      <c r="F67" s="118"/>
      <c r="G67" s="119">
        <f>+G65</f>
        <v>20206416473.550003</v>
      </c>
      <c r="H67" s="119">
        <f t="shared" ref="H67:K67" si="13">+H65</f>
        <v>23393990773.550003</v>
      </c>
      <c r="I67" s="119">
        <f t="shared" si="13"/>
        <v>-3187574300</v>
      </c>
      <c r="J67" s="119">
        <f t="shared" si="13"/>
        <v>20153447090.869995</v>
      </c>
      <c r="K67" s="119">
        <f t="shared" si="13"/>
        <v>3240543682.6800022</v>
      </c>
      <c r="L67" s="10"/>
      <c r="M67" s="10"/>
      <c r="N67" s="76"/>
      <c r="O67" s="76"/>
      <c r="P67" s="76"/>
      <c r="Q67" s="76"/>
      <c r="R67" s="71"/>
      <c r="S67" s="71"/>
      <c r="T67" s="71"/>
      <c r="U67" s="71"/>
      <c r="V67" s="71"/>
    </row>
    <row r="68" spans="1:23" ht="12.75" customHeight="1">
      <c r="A68" s="120" t="s">
        <v>27</v>
      </c>
      <c r="B68" s="116"/>
      <c r="C68" s="116"/>
      <c r="D68" s="116"/>
      <c r="E68" s="116"/>
      <c r="F68" s="116"/>
      <c r="G68" s="121">
        <f>+G35-G67</f>
        <v>1993583526.4499969</v>
      </c>
      <c r="H68" s="121">
        <f t="shared" ref="H68:K68" si="14">+H35-H67</f>
        <v>2004227269.4499969</v>
      </c>
      <c r="I68" s="121">
        <f t="shared" si="14"/>
        <v>-10643743</v>
      </c>
      <c r="J68" s="121">
        <f t="shared" si="14"/>
        <v>-1377021257.0799942</v>
      </c>
      <c r="K68" s="121">
        <f t="shared" si="14"/>
        <v>3381248526.5299978</v>
      </c>
      <c r="L68" s="10"/>
      <c r="M68" s="10"/>
      <c r="N68" s="76"/>
      <c r="O68" s="76"/>
      <c r="P68" s="76"/>
      <c r="Q68" s="76"/>
      <c r="R68" s="71"/>
      <c r="S68" s="71"/>
      <c r="T68" s="71"/>
      <c r="U68" s="71"/>
      <c r="V68" s="71"/>
    </row>
    <row r="69" spans="1:23" ht="12.75" customHeight="1">
      <c r="A69" s="2"/>
      <c r="B69" s="2"/>
      <c r="C69" s="2"/>
      <c r="D69" s="2"/>
      <c r="E69" s="2"/>
      <c r="F69" s="2"/>
      <c r="G69" s="10">
        <v>0</v>
      </c>
      <c r="H69" s="10">
        <v>0</v>
      </c>
      <c r="I69" s="10">
        <v>0</v>
      </c>
      <c r="J69" s="10">
        <v>1911550439.7599993</v>
      </c>
      <c r="K69" s="10">
        <v>-2117996949.7599995</v>
      </c>
      <c r="L69" s="10"/>
      <c r="M69" s="10"/>
      <c r="N69" s="76"/>
      <c r="O69" s="76"/>
      <c r="P69" s="76"/>
      <c r="Q69" s="76"/>
      <c r="R69" s="71"/>
      <c r="S69" s="71"/>
      <c r="T69" s="71"/>
      <c r="U69" s="71"/>
      <c r="V69" s="71"/>
    </row>
    <row r="70" spans="1:23" ht="12.75" customHeight="1">
      <c r="A70" s="2"/>
      <c r="B70" s="2"/>
      <c r="C70" s="2"/>
      <c r="D70" s="2"/>
      <c r="E70" s="2"/>
      <c r="F70" s="2"/>
      <c r="G70" s="10">
        <f>+G68+G69</f>
        <v>1993583526.4499969</v>
      </c>
      <c r="H70" s="10">
        <f t="shared" ref="H70:K70" si="15">+H68+H69</f>
        <v>2004227269.4499969</v>
      </c>
      <c r="I70" s="10">
        <f t="shared" si="15"/>
        <v>-10643743</v>
      </c>
      <c r="J70" s="10">
        <f t="shared" si="15"/>
        <v>534529182.68000507</v>
      </c>
      <c r="K70" s="10">
        <f t="shared" si="15"/>
        <v>1263251576.7699983</v>
      </c>
      <c r="L70" s="10"/>
      <c r="M70" s="10"/>
      <c r="N70" s="76"/>
      <c r="O70" s="76"/>
      <c r="P70" s="76"/>
      <c r="Q70" s="76"/>
      <c r="R70" s="71"/>
      <c r="S70" s="71"/>
      <c r="T70" s="71"/>
      <c r="U70" s="71"/>
      <c r="V70" s="71"/>
    </row>
    <row r="71" spans="1:23" ht="12.75" customHeight="1">
      <c r="A71" s="2"/>
      <c r="B71" s="2"/>
      <c r="C71" s="2"/>
      <c r="D71" s="2"/>
      <c r="E71" s="2"/>
      <c r="F71" s="2"/>
      <c r="G71" s="10">
        <v>1877037016.4499969</v>
      </c>
      <c r="H71" s="10">
        <v>1405490759.4499969</v>
      </c>
      <c r="I71" s="10">
        <v>471546257</v>
      </c>
      <c r="J71" s="10">
        <v>534529182.67999268</v>
      </c>
      <c r="K71" s="10">
        <v>870961576.77000237</v>
      </c>
      <c r="L71" s="10"/>
      <c r="M71" s="10"/>
      <c r="N71" s="76"/>
      <c r="O71" s="76"/>
      <c r="P71" s="76"/>
      <c r="Q71" s="76"/>
      <c r="R71" s="71"/>
      <c r="S71" s="71"/>
      <c r="T71" s="71"/>
      <c r="U71" s="71"/>
      <c r="V71" s="71"/>
    </row>
    <row r="72" spans="1:23" ht="12.75" customHeight="1">
      <c r="A72" s="2"/>
      <c r="B72" s="2"/>
      <c r="C72" s="2"/>
      <c r="D72" s="2"/>
      <c r="E72" s="2"/>
      <c r="F72" s="2"/>
      <c r="G72" s="10">
        <f>+G70-G71</f>
        <v>116546510</v>
      </c>
      <c r="H72" s="10">
        <f>+H70-H71</f>
        <v>598736510</v>
      </c>
      <c r="I72" s="10">
        <f>+I70-I71</f>
        <v>-482190000</v>
      </c>
      <c r="J72" s="10">
        <f>+J70-J71</f>
        <v>1.239776611328125E-5</v>
      </c>
      <c r="K72" s="10">
        <f>+K70-K71</f>
        <v>392289999.99999595</v>
      </c>
      <c r="L72" s="10"/>
      <c r="M72" s="10"/>
      <c r="N72" s="76"/>
      <c r="O72" s="76"/>
      <c r="P72" s="76"/>
      <c r="Q72" s="76"/>
      <c r="R72" s="71"/>
      <c r="S72" s="71"/>
      <c r="T72" s="71"/>
      <c r="U72" s="71"/>
      <c r="V72" s="71"/>
    </row>
    <row r="73" spans="1:23" ht="12.75" customHeight="1">
      <c r="A73" s="2"/>
      <c r="B73" s="2"/>
      <c r="C73" s="2"/>
      <c r="D73" s="2"/>
      <c r="E73" s="2"/>
      <c r="F73" s="2"/>
      <c r="G73" s="10"/>
      <c r="H73" s="10">
        <v>392290000</v>
      </c>
      <c r="I73" s="10">
        <v>-392290000</v>
      </c>
      <c r="J73" s="10"/>
      <c r="K73" s="10"/>
      <c r="L73" s="10"/>
      <c r="M73" s="10"/>
      <c r="N73" s="76"/>
      <c r="O73" s="76"/>
      <c r="P73" s="76"/>
      <c r="Q73" s="76"/>
      <c r="R73" s="71"/>
      <c r="S73" s="71"/>
      <c r="T73" s="71"/>
      <c r="U73" s="71"/>
      <c r="V73" s="71"/>
    </row>
    <row r="74" spans="1:23" ht="12.75" customHeight="1">
      <c r="A74" s="2"/>
      <c r="B74" s="2"/>
      <c r="C74" s="2"/>
      <c r="D74" s="2"/>
      <c r="E74" s="2"/>
      <c r="F74" s="2"/>
      <c r="G74" s="10"/>
      <c r="H74" s="10">
        <v>116546510</v>
      </c>
      <c r="I74" s="10"/>
      <c r="J74" s="77"/>
      <c r="K74" s="10"/>
      <c r="L74" s="10"/>
      <c r="M74" s="10"/>
      <c r="N74" s="76"/>
      <c r="O74" s="76"/>
      <c r="P74" s="76"/>
      <c r="Q74" s="76"/>
      <c r="R74" s="71"/>
      <c r="S74" s="71"/>
      <c r="T74" s="71"/>
      <c r="U74" s="71"/>
      <c r="V74" s="71"/>
    </row>
    <row r="75" spans="1:23" ht="12.75" customHeight="1">
      <c r="A75" s="2"/>
      <c r="B75" s="2"/>
      <c r="C75" s="2"/>
      <c r="D75" s="2"/>
      <c r="E75" s="2"/>
      <c r="F75" s="2"/>
      <c r="G75" s="10"/>
      <c r="H75" s="10">
        <v>89900000</v>
      </c>
      <c r="I75" s="10">
        <v>-89900000</v>
      </c>
      <c r="J75" s="77"/>
      <c r="K75" s="10"/>
      <c r="L75" s="10"/>
      <c r="M75" s="10"/>
      <c r="N75" s="76"/>
      <c r="O75" s="76"/>
      <c r="P75" s="76"/>
      <c r="Q75" s="76"/>
      <c r="R75" s="71"/>
      <c r="S75" s="71"/>
      <c r="T75" s="71"/>
      <c r="U75" s="71"/>
      <c r="V75" s="71"/>
    </row>
    <row r="76" spans="1:23" ht="12.75" customHeight="1">
      <c r="A76" s="2"/>
      <c r="B76" s="2"/>
      <c r="C76" s="2"/>
      <c r="D76" s="2"/>
      <c r="E76" s="2"/>
      <c r="F76" s="2"/>
      <c r="G76" s="10"/>
      <c r="H76" s="10">
        <f>+H73+H74+H75</f>
        <v>598736510</v>
      </c>
      <c r="I76" s="10">
        <f>+I73+I74+I75</f>
        <v>-482190000</v>
      </c>
      <c r="J76" s="77"/>
      <c r="K76" s="3"/>
      <c r="L76" s="3"/>
      <c r="M76" s="3"/>
      <c r="N76" s="73"/>
      <c r="O76" s="73"/>
      <c r="P76" s="73"/>
      <c r="Q76" s="73"/>
      <c r="R76" s="71"/>
      <c r="S76" s="71"/>
      <c r="T76" s="71"/>
      <c r="U76" s="71"/>
      <c r="V76" s="71"/>
    </row>
    <row r="77" spans="1:23" ht="12.75" customHeight="1">
      <c r="A77" s="2"/>
      <c r="B77" s="2"/>
      <c r="C77" s="2"/>
      <c r="D77" s="2"/>
      <c r="E77" s="2"/>
      <c r="F77" s="2"/>
      <c r="G77" s="10"/>
      <c r="H77" s="10"/>
      <c r="I77" s="3"/>
      <c r="J77" s="3"/>
      <c r="K77" s="3"/>
      <c r="L77" s="3"/>
      <c r="M77" s="3"/>
      <c r="N77" s="73"/>
      <c r="O77" s="73"/>
      <c r="P77" s="73"/>
      <c r="Q77" s="73"/>
      <c r="R77" s="71"/>
      <c r="S77" s="71"/>
      <c r="T77" s="71"/>
      <c r="U77" s="71"/>
      <c r="V77" s="71"/>
    </row>
    <row r="78" spans="1:23" ht="12.75" customHeight="1">
      <c r="A78" s="2"/>
      <c r="B78" s="2"/>
      <c r="C78" s="2"/>
      <c r="D78" s="2"/>
      <c r="E78" s="2"/>
      <c r="F78" s="2"/>
      <c r="G78" s="9"/>
      <c r="H78" s="9"/>
      <c r="I78" s="2"/>
      <c r="J78" s="2"/>
      <c r="K78" s="2"/>
      <c r="L78" s="3"/>
      <c r="M78" s="3"/>
      <c r="N78" s="73"/>
      <c r="O78" s="73"/>
      <c r="P78" s="73"/>
      <c r="Q78" s="73"/>
      <c r="R78" s="71"/>
      <c r="S78" s="71"/>
      <c r="T78" s="71"/>
      <c r="U78" s="71"/>
      <c r="V78" s="71"/>
    </row>
    <row r="79" spans="1:23" ht="12.75" customHeight="1">
      <c r="A79" s="2"/>
      <c r="B79" s="2"/>
      <c r="C79" s="2"/>
      <c r="D79" s="2"/>
      <c r="E79" s="2"/>
      <c r="F79" s="2"/>
      <c r="G79" s="9"/>
      <c r="H79" s="9"/>
      <c r="I79" s="2"/>
      <c r="J79" s="2"/>
      <c r="K79" s="2"/>
      <c r="L79" s="3"/>
      <c r="M79" s="3"/>
      <c r="N79" s="73"/>
      <c r="O79" s="73"/>
      <c r="P79" s="73"/>
      <c r="Q79" s="73"/>
      <c r="R79" s="71"/>
      <c r="S79" s="71"/>
      <c r="T79" s="71"/>
      <c r="U79" s="71"/>
      <c r="V79" s="71"/>
    </row>
    <row r="80" spans="1:23" ht="12.75" customHeight="1">
      <c r="A80" s="2"/>
      <c r="B80" s="2"/>
      <c r="C80" s="2"/>
      <c r="D80" s="2"/>
      <c r="E80" s="2"/>
      <c r="F80" s="2"/>
      <c r="G80" s="9"/>
      <c r="H80" s="9"/>
      <c r="I80" s="2"/>
      <c r="J80" s="2"/>
      <c r="K80" s="2"/>
      <c r="L80" s="3"/>
      <c r="M80" s="3"/>
      <c r="N80" s="73"/>
      <c r="O80" s="73"/>
      <c r="P80" s="73"/>
      <c r="Q80" s="73"/>
      <c r="R80" s="71"/>
      <c r="S80" s="71"/>
      <c r="T80" s="71"/>
      <c r="U80" s="71"/>
      <c r="V80" s="71"/>
    </row>
    <row r="81" spans="1:22" ht="12.75" customHeight="1">
      <c r="A81" s="2"/>
      <c r="B81" s="2"/>
      <c r="C81" s="2"/>
      <c r="D81" s="2"/>
      <c r="E81" s="2"/>
      <c r="F81" s="2"/>
      <c r="G81" s="9"/>
      <c r="H81" s="9"/>
      <c r="I81" s="2"/>
      <c r="J81" s="2"/>
      <c r="K81" s="2"/>
      <c r="L81" s="3"/>
      <c r="M81" s="3"/>
      <c r="N81" s="73"/>
      <c r="O81" s="73"/>
      <c r="P81" s="73"/>
      <c r="Q81" s="73"/>
      <c r="R81" s="71"/>
      <c r="S81" s="71"/>
      <c r="T81" s="71"/>
      <c r="U81" s="71"/>
      <c r="V81" s="71"/>
    </row>
    <row r="82" spans="1:22" ht="12.75" customHeight="1">
      <c r="A82" s="2"/>
      <c r="B82" s="2"/>
      <c r="C82" s="2"/>
      <c r="D82" s="2"/>
      <c r="E82" s="2"/>
      <c r="F82" s="2"/>
      <c r="G82" s="9"/>
      <c r="H82" s="9"/>
      <c r="I82" s="2"/>
      <c r="J82" s="2"/>
      <c r="K82" s="2"/>
      <c r="L82" s="3"/>
      <c r="M82" s="3"/>
      <c r="N82" s="73"/>
      <c r="O82" s="73"/>
      <c r="P82" s="73"/>
      <c r="Q82" s="73"/>
      <c r="R82" s="71"/>
      <c r="S82" s="71"/>
      <c r="T82" s="71"/>
      <c r="U82" s="71"/>
      <c r="V82" s="71"/>
    </row>
    <row r="83" spans="1:22" ht="12.75" customHeight="1">
      <c r="A83" s="2"/>
      <c r="B83" s="2"/>
      <c r="C83" s="2"/>
      <c r="D83" s="2"/>
      <c r="E83" s="2"/>
      <c r="F83" s="2"/>
      <c r="G83" s="9"/>
      <c r="H83" s="9"/>
      <c r="I83" s="2"/>
      <c r="J83" s="2"/>
      <c r="K83" s="2"/>
      <c r="L83" s="3"/>
      <c r="M83" s="3"/>
      <c r="N83" s="73"/>
      <c r="O83" s="73"/>
      <c r="P83" s="73"/>
      <c r="Q83" s="73"/>
      <c r="R83" s="71"/>
      <c r="S83" s="71"/>
      <c r="T83" s="71"/>
      <c r="U83" s="71"/>
      <c r="V83" s="71"/>
    </row>
    <row r="84" spans="1:22" ht="12.75" customHeight="1">
      <c r="A84" s="2"/>
      <c r="B84" s="2"/>
      <c r="C84" s="2"/>
      <c r="D84" s="2"/>
      <c r="E84" s="2"/>
      <c r="F84" s="2"/>
      <c r="G84" s="9"/>
      <c r="H84" s="9"/>
      <c r="I84" s="2"/>
      <c r="J84" s="2"/>
      <c r="K84" s="2"/>
      <c r="L84" s="3"/>
      <c r="M84" s="3"/>
      <c r="N84" s="73"/>
      <c r="O84" s="73"/>
      <c r="P84" s="73"/>
      <c r="Q84" s="73"/>
      <c r="R84" s="71"/>
      <c r="S84" s="71"/>
      <c r="T84" s="71"/>
      <c r="U84" s="71"/>
      <c r="V84" s="71"/>
    </row>
    <row r="85" spans="1:22" ht="12.75" customHeight="1">
      <c r="A85" s="2"/>
      <c r="B85" s="2"/>
      <c r="C85" s="2"/>
      <c r="D85" s="2"/>
      <c r="E85" s="2"/>
      <c r="F85" s="2"/>
      <c r="G85" s="9"/>
      <c r="H85" s="9"/>
      <c r="I85" s="2"/>
      <c r="J85" s="2"/>
      <c r="K85" s="2"/>
      <c r="L85" s="3"/>
      <c r="M85" s="3"/>
      <c r="N85" s="73"/>
      <c r="O85" s="73"/>
      <c r="P85" s="73"/>
      <c r="Q85" s="73"/>
      <c r="R85" s="71"/>
      <c r="S85" s="71"/>
      <c r="T85" s="71"/>
      <c r="U85" s="71"/>
      <c r="V85" s="71"/>
    </row>
    <row r="86" spans="1:22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3"/>
      <c r="N86" s="73"/>
      <c r="O86" s="73"/>
      <c r="P86" s="73"/>
      <c r="Q86" s="73"/>
      <c r="R86" s="71"/>
      <c r="S86" s="71"/>
      <c r="T86" s="71"/>
      <c r="U86" s="71"/>
      <c r="V86" s="71"/>
    </row>
    <row r="87" spans="1:22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3"/>
      <c r="N87" s="73"/>
      <c r="O87" s="73"/>
      <c r="P87" s="73"/>
      <c r="Q87" s="73"/>
      <c r="R87" s="71"/>
      <c r="S87" s="71"/>
      <c r="T87" s="71"/>
      <c r="U87" s="71"/>
      <c r="V87" s="71"/>
    </row>
    <row r="88" spans="1:22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3"/>
      <c r="N88" s="73"/>
      <c r="O88" s="73"/>
      <c r="P88" s="73"/>
      <c r="Q88" s="73"/>
      <c r="R88" s="71"/>
      <c r="S88" s="71"/>
      <c r="T88" s="71"/>
      <c r="U88" s="71"/>
      <c r="V88" s="71"/>
    </row>
    <row r="89" spans="1:22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3"/>
      <c r="N89" s="73"/>
      <c r="O89" s="73"/>
      <c r="P89" s="73"/>
      <c r="Q89" s="73"/>
      <c r="R89" s="71"/>
      <c r="S89" s="71"/>
      <c r="T89" s="71"/>
      <c r="U89" s="71"/>
      <c r="V89" s="71"/>
    </row>
    <row r="90" spans="1:22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3"/>
      <c r="N90" s="73"/>
      <c r="O90" s="73"/>
      <c r="P90" s="73"/>
      <c r="Q90" s="73"/>
      <c r="R90" s="71"/>
      <c r="S90" s="71"/>
      <c r="T90" s="71"/>
      <c r="U90" s="71"/>
      <c r="V90" s="71"/>
    </row>
    <row r="91" spans="1:22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3"/>
      <c r="N91" s="73"/>
      <c r="O91" s="73"/>
      <c r="P91" s="73"/>
      <c r="Q91" s="73"/>
      <c r="R91" s="71"/>
      <c r="S91" s="71"/>
      <c r="T91" s="71"/>
      <c r="U91" s="71"/>
      <c r="V91" s="71"/>
    </row>
    <row r="92" spans="1:2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3"/>
      <c r="N92" s="2"/>
      <c r="O92" s="2"/>
      <c r="P92" s="2"/>
      <c r="Q92" s="2"/>
    </row>
    <row r="93" spans="1:22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3"/>
      <c r="N93" s="2"/>
      <c r="O93" s="2"/>
      <c r="P93" s="2"/>
      <c r="Q93" s="2"/>
    </row>
    <row r="94" spans="1:22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3"/>
      <c r="N94" s="2"/>
      <c r="O94" s="2"/>
      <c r="P94" s="2"/>
      <c r="Q94" s="2"/>
    </row>
    <row r="95" spans="1:22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3"/>
      <c r="N95" s="2"/>
      <c r="O95" s="2"/>
      <c r="P95" s="2"/>
      <c r="Q95" s="2"/>
    </row>
    <row r="96" spans="1:22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3"/>
      <c r="N96" s="2"/>
      <c r="O96" s="2"/>
      <c r="P96" s="2"/>
      <c r="Q96" s="2"/>
    </row>
    <row r="97" spans="1:1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3"/>
      <c r="N97" s="2"/>
      <c r="O97" s="2"/>
      <c r="P97" s="2"/>
      <c r="Q97" s="2"/>
    </row>
    <row r="98" spans="1:17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3"/>
      <c r="N98" s="2"/>
      <c r="O98" s="2"/>
      <c r="P98" s="2"/>
      <c r="Q98" s="2"/>
    </row>
    <row r="99" spans="1:17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3"/>
      <c r="N99" s="2"/>
      <c r="O99" s="2"/>
      <c r="P99" s="2"/>
      <c r="Q99" s="2"/>
    </row>
    <row r="100" spans="1:17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3"/>
      <c r="N100" s="2"/>
      <c r="O100" s="2"/>
      <c r="P100" s="2"/>
      <c r="Q100" s="2"/>
    </row>
    <row r="101" spans="1:17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3"/>
      <c r="N101" s="2"/>
      <c r="O101" s="2"/>
      <c r="P101" s="2"/>
      <c r="Q101" s="2"/>
    </row>
    <row r="102" spans="1:17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3"/>
      <c r="N102" s="2"/>
      <c r="O102" s="2"/>
      <c r="P102" s="2"/>
      <c r="Q102" s="2"/>
    </row>
    <row r="103" spans="1:17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3"/>
      <c r="N103" s="2"/>
      <c r="O103" s="2"/>
      <c r="P103" s="2"/>
      <c r="Q103" s="2"/>
    </row>
    <row r="104" spans="1:17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3"/>
      <c r="N104" s="2"/>
      <c r="O104" s="2"/>
      <c r="P104" s="2"/>
      <c r="Q104" s="2"/>
    </row>
    <row r="105" spans="1:17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3"/>
      <c r="N105" s="2"/>
      <c r="O105" s="2"/>
      <c r="P105" s="2"/>
      <c r="Q105" s="2"/>
    </row>
    <row r="106" spans="1:17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3"/>
      <c r="N106" s="2"/>
      <c r="O106" s="2"/>
      <c r="P106" s="2"/>
      <c r="Q106" s="2"/>
    </row>
    <row r="107" spans="1:1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3"/>
      <c r="N107" s="2"/>
      <c r="O107" s="2"/>
      <c r="P107" s="2"/>
      <c r="Q107" s="2"/>
    </row>
    <row r="108" spans="1:17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3"/>
      <c r="N108" s="2"/>
      <c r="O108" s="2"/>
      <c r="P108" s="2"/>
      <c r="Q108" s="2"/>
    </row>
    <row r="109" spans="1:17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3"/>
      <c r="N109" s="2"/>
      <c r="O109" s="2"/>
      <c r="P109" s="2"/>
      <c r="Q109" s="2"/>
    </row>
    <row r="110" spans="1:17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3"/>
      <c r="N110" s="2"/>
      <c r="O110" s="2"/>
      <c r="P110" s="2"/>
      <c r="Q110" s="2"/>
    </row>
    <row r="111" spans="1:17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3"/>
      <c r="N111" s="2"/>
      <c r="O111" s="2"/>
      <c r="P111" s="2"/>
      <c r="Q111" s="2"/>
    </row>
    <row r="112" spans="1:17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3"/>
      <c r="N112" s="2"/>
      <c r="O112" s="2"/>
      <c r="P112" s="2"/>
      <c r="Q112" s="2"/>
    </row>
    <row r="113" spans="1:17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3"/>
      <c r="N113" s="2"/>
      <c r="O113" s="2"/>
      <c r="P113" s="2"/>
      <c r="Q113" s="2"/>
    </row>
    <row r="114" spans="1:17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3"/>
      <c r="N114" s="2"/>
      <c r="O114" s="2"/>
      <c r="P114" s="2"/>
      <c r="Q114" s="2"/>
    </row>
    <row r="115" spans="1:17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3"/>
      <c r="N115" s="2"/>
      <c r="O115" s="2"/>
      <c r="P115" s="2"/>
      <c r="Q115" s="2"/>
    </row>
    <row r="116" spans="1:17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3"/>
      <c r="N116" s="2"/>
      <c r="O116" s="2"/>
      <c r="P116" s="2"/>
      <c r="Q116" s="2"/>
    </row>
    <row r="117" spans="1: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3"/>
      <c r="N117" s="2"/>
      <c r="O117" s="2"/>
      <c r="P117" s="2"/>
      <c r="Q117" s="2"/>
    </row>
    <row r="118" spans="1:17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3"/>
      <c r="N118" s="2"/>
      <c r="O118" s="2"/>
      <c r="P118" s="2"/>
      <c r="Q118" s="2"/>
    </row>
    <row r="119" spans="1:17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3"/>
      <c r="N119" s="2"/>
      <c r="O119" s="2"/>
      <c r="P119" s="2"/>
      <c r="Q119" s="2"/>
    </row>
    <row r="120" spans="1:17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3"/>
      <c r="N120" s="2"/>
      <c r="O120" s="2"/>
      <c r="P120" s="2"/>
      <c r="Q120" s="2"/>
    </row>
    <row r="121" spans="1:17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3"/>
      <c r="N121" s="2"/>
      <c r="O121" s="2"/>
      <c r="P121" s="2"/>
      <c r="Q121" s="2"/>
    </row>
    <row r="122" spans="1:17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3"/>
      <c r="N122" s="2"/>
      <c r="O122" s="2"/>
      <c r="P122" s="2"/>
      <c r="Q122" s="2"/>
    </row>
    <row r="123" spans="1:17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3"/>
      <c r="N123" s="2"/>
      <c r="O123" s="2"/>
      <c r="P123" s="2"/>
      <c r="Q123" s="2"/>
    </row>
    <row r="124" spans="1:17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3"/>
      <c r="N124" s="2"/>
      <c r="O124" s="2"/>
      <c r="P124" s="2"/>
      <c r="Q124" s="2"/>
    </row>
    <row r="125" spans="1:17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3"/>
      <c r="N125" s="2"/>
      <c r="O125" s="2"/>
      <c r="P125" s="2"/>
      <c r="Q125" s="2"/>
    </row>
    <row r="126" spans="1:17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3"/>
      <c r="N126" s="2"/>
      <c r="O126" s="2"/>
      <c r="P126" s="2"/>
      <c r="Q126" s="2"/>
    </row>
    <row r="127" spans="1:1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3"/>
      <c r="N127" s="2"/>
      <c r="O127" s="2"/>
      <c r="P127" s="2"/>
      <c r="Q127" s="2"/>
    </row>
    <row r="128" spans="1:17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3"/>
      <c r="N128" s="2"/>
      <c r="O128" s="2"/>
      <c r="P128" s="2"/>
      <c r="Q128" s="2"/>
    </row>
    <row r="129" spans="1:17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3"/>
      <c r="N129" s="2"/>
      <c r="O129" s="2"/>
      <c r="P129" s="2"/>
      <c r="Q129" s="2"/>
    </row>
    <row r="130" spans="1:17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3"/>
      <c r="N130" s="2"/>
      <c r="O130" s="2"/>
      <c r="P130" s="2"/>
      <c r="Q130" s="2"/>
    </row>
    <row r="131" spans="1:17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3"/>
      <c r="N131" s="2"/>
      <c r="O131" s="2"/>
      <c r="P131" s="2"/>
      <c r="Q131" s="2"/>
    </row>
    <row r="132" spans="1:17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3"/>
      <c r="N132" s="2"/>
      <c r="O132" s="2"/>
      <c r="P132" s="2"/>
      <c r="Q132" s="2"/>
    </row>
    <row r="133" spans="1:17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3"/>
      <c r="N133" s="2"/>
      <c r="O133" s="2"/>
      <c r="P133" s="2"/>
      <c r="Q133" s="2"/>
    </row>
    <row r="134" spans="1:17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3"/>
      <c r="N134" s="2"/>
      <c r="O134" s="2"/>
      <c r="P134" s="2"/>
      <c r="Q134" s="2"/>
    </row>
    <row r="135" spans="1:17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3"/>
      <c r="N135" s="2"/>
      <c r="O135" s="2"/>
      <c r="P135" s="2"/>
      <c r="Q135" s="2"/>
    </row>
    <row r="136" spans="1:17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3"/>
      <c r="N136" s="2"/>
      <c r="O136" s="2"/>
      <c r="P136" s="2"/>
      <c r="Q136" s="2"/>
    </row>
    <row r="137" spans="1:1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3"/>
      <c r="N137" s="2"/>
      <c r="O137" s="2"/>
      <c r="P137" s="2"/>
      <c r="Q137" s="2"/>
    </row>
    <row r="138" spans="1:17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3"/>
      <c r="N138" s="2"/>
      <c r="O138" s="2"/>
      <c r="P138" s="2"/>
      <c r="Q138" s="2"/>
    </row>
    <row r="139" spans="1:17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3"/>
      <c r="N139" s="2"/>
      <c r="O139" s="2"/>
      <c r="P139" s="2"/>
      <c r="Q139" s="2"/>
    </row>
    <row r="140" spans="1:17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3"/>
      <c r="N140" s="2"/>
      <c r="O140" s="2"/>
      <c r="P140" s="2"/>
      <c r="Q140" s="2"/>
    </row>
    <row r="141" spans="1:17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3"/>
      <c r="N141" s="2"/>
      <c r="O141" s="2"/>
      <c r="P141" s="2"/>
      <c r="Q141" s="2"/>
    </row>
    <row r="142" spans="1:17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3"/>
      <c r="N142" s="2"/>
      <c r="O142" s="2"/>
      <c r="P142" s="2"/>
      <c r="Q142" s="2"/>
    </row>
    <row r="143" spans="1:17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3"/>
      <c r="N143" s="2"/>
      <c r="O143" s="2"/>
      <c r="P143" s="2"/>
      <c r="Q143" s="2"/>
    </row>
    <row r="144" spans="1:17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3"/>
      <c r="N144" s="2"/>
      <c r="O144" s="2"/>
      <c r="P144" s="2"/>
      <c r="Q144" s="2"/>
    </row>
    <row r="145" spans="1:17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3"/>
      <c r="N145" s="2"/>
      <c r="O145" s="2"/>
      <c r="P145" s="2"/>
      <c r="Q145" s="2"/>
    </row>
    <row r="146" spans="1:17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3"/>
      <c r="N146" s="2"/>
      <c r="O146" s="2"/>
      <c r="P146" s="2"/>
      <c r="Q146" s="2"/>
    </row>
    <row r="147" spans="1:1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3"/>
      <c r="N147" s="2"/>
      <c r="O147" s="2"/>
      <c r="P147" s="2"/>
      <c r="Q147" s="2"/>
    </row>
    <row r="148" spans="1:17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3"/>
      <c r="N148" s="2"/>
      <c r="O148" s="2"/>
      <c r="P148" s="2"/>
      <c r="Q148" s="2"/>
    </row>
    <row r="149" spans="1:17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3"/>
      <c r="N149" s="2"/>
      <c r="O149" s="2"/>
      <c r="P149" s="2"/>
      <c r="Q149" s="2"/>
    </row>
    <row r="150" spans="1:17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3"/>
      <c r="N150" s="2"/>
      <c r="O150" s="2"/>
      <c r="P150" s="2"/>
      <c r="Q150" s="2"/>
    </row>
    <row r="151" spans="1:17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3"/>
      <c r="N151" s="2"/>
      <c r="O151" s="2"/>
      <c r="P151" s="2"/>
      <c r="Q151" s="2"/>
    </row>
    <row r="152" spans="1:17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3"/>
      <c r="N152" s="2"/>
      <c r="O152" s="2"/>
      <c r="P152" s="2"/>
      <c r="Q152" s="2"/>
    </row>
    <row r="153" spans="1:17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3"/>
      <c r="N153" s="2"/>
      <c r="O153" s="2"/>
      <c r="P153" s="2"/>
      <c r="Q153" s="2"/>
    </row>
    <row r="154" spans="1:17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s="3"/>
      <c r="N154" s="2"/>
      <c r="O154" s="2"/>
      <c r="P154" s="2"/>
      <c r="Q154" s="2"/>
    </row>
    <row r="155" spans="1:17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s="3"/>
      <c r="N155" s="2"/>
      <c r="O155" s="2"/>
      <c r="P155" s="2"/>
      <c r="Q155" s="2"/>
    </row>
    <row r="156" spans="1:17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3"/>
      <c r="N156" s="2"/>
      <c r="O156" s="2"/>
      <c r="P156" s="2"/>
      <c r="Q156" s="2"/>
    </row>
    <row r="157" spans="1:1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3"/>
      <c r="M157" s="3"/>
      <c r="N157" s="2"/>
      <c r="O157" s="2"/>
      <c r="P157" s="2"/>
      <c r="Q157" s="2"/>
    </row>
    <row r="158" spans="1:17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3"/>
      <c r="M158" s="3"/>
      <c r="N158" s="2"/>
      <c r="O158" s="2"/>
      <c r="P158" s="2"/>
      <c r="Q158" s="2"/>
    </row>
    <row r="159" spans="1:17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s="3"/>
      <c r="N159" s="2"/>
      <c r="O159" s="2"/>
      <c r="P159" s="2"/>
      <c r="Q159" s="2"/>
    </row>
    <row r="160" spans="1:17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3"/>
      <c r="N160" s="2"/>
      <c r="O160" s="2"/>
      <c r="P160" s="2"/>
      <c r="Q160" s="2"/>
    </row>
    <row r="161" spans="1:17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s="3"/>
      <c r="N161" s="2"/>
      <c r="O161" s="2"/>
      <c r="P161" s="2"/>
      <c r="Q161" s="2"/>
    </row>
    <row r="162" spans="1:17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3"/>
      <c r="N162" s="2"/>
      <c r="O162" s="2"/>
      <c r="P162" s="2"/>
      <c r="Q162" s="2"/>
    </row>
    <row r="163" spans="1:17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3"/>
      <c r="N163" s="2"/>
      <c r="O163" s="2"/>
      <c r="P163" s="2"/>
      <c r="Q163" s="2"/>
    </row>
    <row r="164" spans="1:17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3"/>
      <c r="M164" s="3"/>
      <c r="N164" s="2"/>
      <c r="O164" s="2"/>
      <c r="P164" s="2"/>
      <c r="Q164" s="2"/>
    </row>
    <row r="165" spans="1:17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3"/>
      <c r="M165" s="3"/>
      <c r="N165" s="2"/>
      <c r="O165" s="2"/>
      <c r="P165" s="2"/>
      <c r="Q165" s="2"/>
    </row>
    <row r="166" spans="1:17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3"/>
      <c r="M166" s="3"/>
      <c r="N166" s="2"/>
      <c r="O166" s="2"/>
      <c r="P166" s="2"/>
      <c r="Q166" s="2"/>
    </row>
    <row r="167" spans="1:1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3"/>
      <c r="N167" s="2"/>
      <c r="O167" s="2"/>
      <c r="P167" s="2"/>
      <c r="Q167" s="2"/>
    </row>
    <row r="168" spans="1:17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3"/>
      <c r="N168" s="2"/>
      <c r="O168" s="2"/>
      <c r="P168" s="2"/>
      <c r="Q168" s="2"/>
    </row>
    <row r="169" spans="1:17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3"/>
      <c r="M169" s="3"/>
      <c r="N169" s="2"/>
      <c r="O169" s="2"/>
      <c r="P169" s="2"/>
      <c r="Q169" s="2"/>
    </row>
    <row r="170" spans="1:17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3"/>
      <c r="M170" s="3"/>
      <c r="N170" s="2"/>
      <c r="O170" s="2"/>
      <c r="P170" s="2"/>
      <c r="Q170" s="2"/>
    </row>
    <row r="171" spans="1:17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3"/>
      <c r="M171" s="3"/>
      <c r="N171" s="2"/>
      <c r="O171" s="2"/>
      <c r="P171" s="2"/>
      <c r="Q171" s="2"/>
    </row>
    <row r="172" spans="1:17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3"/>
      <c r="M172" s="3"/>
      <c r="N172" s="2"/>
      <c r="O172" s="2"/>
      <c r="P172" s="2"/>
      <c r="Q172" s="2"/>
    </row>
    <row r="173" spans="1:17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  <c r="M173" s="3"/>
      <c r="N173" s="2"/>
      <c r="O173" s="2"/>
      <c r="P173" s="2"/>
      <c r="Q173" s="2"/>
    </row>
    <row r="174" spans="1:17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3"/>
      <c r="M174" s="3"/>
      <c r="N174" s="2"/>
      <c r="O174" s="2"/>
      <c r="P174" s="2"/>
      <c r="Q174" s="2"/>
    </row>
    <row r="175" spans="1:17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3"/>
      <c r="M175" s="3"/>
      <c r="N175" s="2"/>
      <c r="O175" s="2"/>
      <c r="P175" s="2"/>
      <c r="Q175" s="2"/>
    </row>
    <row r="176" spans="1:17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s="3"/>
      <c r="N176" s="2"/>
      <c r="O176" s="2"/>
      <c r="P176" s="2"/>
      <c r="Q176" s="2"/>
    </row>
    <row r="177" spans="1:1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3"/>
      <c r="M177" s="3"/>
      <c r="N177" s="2"/>
      <c r="O177" s="2"/>
      <c r="P177" s="2"/>
      <c r="Q177" s="2"/>
    </row>
    <row r="178" spans="1:17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3"/>
      <c r="M178" s="3"/>
      <c r="N178" s="2"/>
      <c r="O178" s="2"/>
      <c r="P178" s="2"/>
      <c r="Q178" s="2"/>
    </row>
    <row r="179" spans="1:17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3"/>
      <c r="M179" s="3"/>
      <c r="N179" s="2"/>
      <c r="O179" s="2"/>
      <c r="P179" s="2"/>
      <c r="Q179" s="2"/>
    </row>
    <row r="180" spans="1:17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"/>
      <c r="M180" s="3"/>
      <c r="N180" s="2"/>
      <c r="O180" s="2"/>
      <c r="P180" s="2"/>
      <c r="Q180" s="2"/>
    </row>
    <row r="181" spans="1:17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3"/>
      <c r="M181" s="3"/>
      <c r="N181" s="2"/>
      <c r="O181" s="2"/>
      <c r="P181" s="2"/>
      <c r="Q181" s="2"/>
    </row>
    <row r="182" spans="1:17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3"/>
      <c r="N182" s="2"/>
      <c r="O182" s="2"/>
      <c r="P182" s="2"/>
      <c r="Q182" s="2"/>
    </row>
    <row r="183" spans="1:17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3"/>
      <c r="N183" s="2"/>
      <c r="O183" s="2"/>
      <c r="P183" s="2"/>
      <c r="Q183" s="2"/>
    </row>
    <row r="184" spans="1:17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3"/>
      <c r="M184" s="3"/>
      <c r="N184" s="2"/>
      <c r="O184" s="2"/>
      <c r="P184" s="2"/>
      <c r="Q184" s="2"/>
    </row>
    <row r="185" spans="1:17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3"/>
      <c r="M185" s="3"/>
      <c r="N185" s="2"/>
      <c r="O185" s="2"/>
      <c r="P185" s="2"/>
      <c r="Q185" s="2"/>
    </row>
    <row r="186" spans="1:17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3"/>
      <c r="M186" s="3"/>
      <c r="N186" s="2"/>
      <c r="O186" s="2"/>
      <c r="P186" s="2"/>
      <c r="Q186" s="2"/>
    </row>
    <row r="187" spans="1:1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3"/>
      <c r="M187" s="3"/>
      <c r="N187" s="2"/>
      <c r="O187" s="2"/>
      <c r="P187" s="2"/>
      <c r="Q187" s="2"/>
    </row>
    <row r="188" spans="1:17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3"/>
      <c r="M188" s="3"/>
      <c r="N188" s="2"/>
      <c r="O188" s="2"/>
      <c r="P188" s="2"/>
      <c r="Q188" s="2"/>
    </row>
    <row r="189" spans="1:17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3"/>
      <c r="M189" s="3"/>
      <c r="N189" s="2"/>
      <c r="O189" s="2"/>
      <c r="P189" s="2"/>
      <c r="Q189" s="2"/>
    </row>
    <row r="190" spans="1:17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3"/>
      <c r="N190" s="2"/>
      <c r="O190" s="2"/>
      <c r="P190" s="2"/>
      <c r="Q190" s="2"/>
    </row>
    <row r="191" spans="1:17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3"/>
      <c r="M191" s="3"/>
      <c r="N191" s="2"/>
      <c r="O191" s="2"/>
      <c r="P191" s="2"/>
      <c r="Q191" s="2"/>
    </row>
    <row r="192" spans="1:17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3"/>
      <c r="N192" s="2"/>
      <c r="O192" s="2"/>
      <c r="P192" s="2"/>
      <c r="Q192" s="2"/>
    </row>
    <row r="193" spans="1:17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3"/>
      <c r="M193" s="3"/>
      <c r="N193" s="2"/>
      <c r="O193" s="2"/>
      <c r="P193" s="2"/>
      <c r="Q193" s="2"/>
    </row>
    <row r="194" spans="1:17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3"/>
      <c r="M194" s="3"/>
      <c r="N194" s="2"/>
      <c r="O194" s="2"/>
      <c r="P194" s="2"/>
      <c r="Q194" s="2"/>
    </row>
    <row r="195" spans="1:17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3"/>
      <c r="M195" s="3"/>
      <c r="N195" s="2"/>
      <c r="O195" s="2"/>
      <c r="P195" s="2"/>
      <c r="Q195" s="2"/>
    </row>
    <row r="196" spans="1:17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3"/>
      <c r="M196" s="3"/>
      <c r="N196" s="2"/>
      <c r="O196" s="2"/>
      <c r="P196" s="2"/>
      <c r="Q196" s="2"/>
    </row>
    <row r="197" spans="1:1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3"/>
      <c r="N197" s="2"/>
      <c r="O197" s="2"/>
      <c r="P197" s="2"/>
      <c r="Q197" s="2"/>
    </row>
    <row r="198" spans="1:17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3"/>
      <c r="N198" s="2"/>
      <c r="O198" s="2"/>
      <c r="P198" s="2"/>
      <c r="Q198" s="2"/>
    </row>
    <row r="199" spans="1:17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"/>
      <c r="M199" s="3"/>
      <c r="N199" s="2"/>
      <c r="O199" s="2"/>
      <c r="P199" s="2"/>
      <c r="Q199" s="2"/>
    </row>
    <row r="200" spans="1:17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3"/>
      <c r="N200" s="2"/>
      <c r="O200" s="2"/>
      <c r="P200" s="2"/>
      <c r="Q200" s="2"/>
    </row>
    <row r="201" spans="1:17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"/>
      <c r="M201" s="3"/>
      <c r="N201" s="2"/>
      <c r="O201" s="2"/>
      <c r="P201" s="2"/>
      <c r="Q201" s="2"/>
    </row>
    <row r="202" spans="1:17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3"/>
      <c r="M202" s="3"/>
      <c r="N202" s="2"/>
      <c r="O202" s="2"/>
      <c r="P202" s="2"/>
      <c r="Q202" s="2"/>
    </row>
    <row r="203" spans="1:17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3"/>
      <c r="M203" s="3"/>
      <c r="N203" s="2"/>
      <c r="O203" s="2"/>
      <c r="P203" s="2"/>
      <c r="Q203" s="2"/>
    </row>
    <row r="204" spans="1:17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3"/>
      <c r="M204" s="3"/>
      <c r="N204" s="2"/>
      <c r="O204" s="2"/>
      <c r="P204" s="2"/>
      <c r="Q204" s="2"/>
    </row>
    <row r="205" spans="1:17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3"/>
      <c r="M205" s="3"/>
      <c r="N205" s="2"/>
      <c r="O205" s="2"/>
      <c r="P205" s="2"/>
      <c r="Q205" s="2"/>
    </row>
    <row r="206" spans="1:17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3"/>
      <c r="M206" s="3"/>
      <c r="N206" s="2"/>
      <c r="O206" s="2"/>
      <c r="P206" s="2"/>
      <c r="Q206" s="2"/>
    </row>
    <row r="207" spans="1:1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3"/>
      <c r="M207" s="3"/>
      <c r="N207" s="2"/>
      <c r="O207" s="2"/>
      <c r="P207" s="2"/>
      <c r="Q207" s="2"/>
    </row>
    <row r="208" spans="1:17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3"/>
      <c r="N208" s="2"/>
      <c r="O208" s="2"/>
      <c r="P208" s="2"/>
      <c r="Q208" s="2"/>
    </row>
    <row r="209" spans="1:17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3"/>
      <c r="N209" s="2"/>
      <c r="O209" s="2"/>
      <c r="P209" s="2"/>
      <c r="Q209" s="2"/>
    </row>
    <row r="210" spans="1:17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3"/>
      <c r="M210" s="3"/>
      <c r="N210" s="2"/>
      <c r="O210" s="2"/>
      <c r="P210" s="2"/>
      <c r="Q210" s="2"/>
    </row>
    <row r="211" spans="1:17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3"/>
      <c r="M211" s="3"/>
      <c r="N211" s="2"/>
      <c r="O211" s="2"/>
      <c r="P211" s="2"/>
      <c r="Q211" s="2"/>
    </row>
    <row r="212" spans="1:17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3"/>
      <c r="M212" s="3"/>
      <c r="N212" s="2"/>
      <c r="O212" s="2"/>
      <c r="P212" s="2"/>
      <c r="Q212" s="2"/>
    </row>
    <row r="213" spans="1:17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3"/>
      <c r="M213" s="3"/>
      <c r="N213" s="2"/>
      <c r="O213" s="2"/>
      <c r="P213" s="2"/>
      <c r="Q213" s="2"/>
    </row>
    <row r="214" spans="1:17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3"/>
      <c r="M214" s="3"/>
      <c r="N214" s="2"/>
      <c r="O214" s="2"/>
      <c r="P214" s="2"/>
      <c r="Q214" s="2"/>
    </row>
    <row r="215" spans="1:17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3"/>
      <c r="N215" s="2"/>
      <c r="O215" s="2"/>
      <c r="P215" s="2"/>
      <c r="Q215" s="2"/>
    </row>
    <row r="216" spans="1:17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3"/>
      <c r="M216" s="3"/>
      <c r="N216" s="2"/>
      <c r="O216" s="2"/>
      <c r="P216" s="2"/>
      <c r="Q216" s="2"/>
    </row>
    <row r="217" spans="1: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3"/>
      <c r="N217" s="2"/>
      <c r="O217" s="2"/>
      <c r="P217" s="2"/>
      <c r="Q217" s="2"/>
    </row>
    <row r="218" spans="1:17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3"/>
      <c r="M218" s="3"/>
      <c r="N218" s="2"/>
      <c r="O218" s="2"/>
      <c r="P218" s="2"/>
      <c r="Q218" s="2"/>
    </row>
    <row r="219" spans="1:17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3"/>
      <c r="M219" s="3"/>
      <c r="N219" s="2"/>
      <c r="O219" s="2"/>
      <c r="P219" s="2"/>
      <c r="Q219" s="2"/>
    </row>
    <row r="220" spans="1:17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3"/>
      <c r="M220" s="3"/>
      <c r="N220" s="2"/>
      <c r="O220" s="2"/>
      <c r="P220" s="2"/>
      <c r="Q220" s="2"/>
    </row>
    <row r="221" spans="1:17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3"/>
      <c r="M221" s="3"/>
      <c r="N221" s="2"/>
      <c r="O221" s="2"/>
      <c r="P221" s="2"/>
      <c r="Q221" s="2"/>
    </row>
    <row r="222" spans="1:17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3"/>
      <c r="N222" s="2"/>
      <c r="O222" s="2"/>
      <c r="P222" s="2"/>
      <c r="Q222" s="2"/>
    </row>
    <row r="223" spans="1:17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  <c r="M223" s="3"/>
      <c r="N223" s="2"/>
      <c r="O223" s="2"/>
      <c r="P223" s="2"/>
      <c r="Q223" s="2"/>
    </row>
    <row r="224" spans="1:17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"/>
      <c r="M224" s="3"/>
      <c r="N224" s="2"/>
      <c r="O224" s="2"/>
      <c r="P224" s="2"/>
      <c r="Q224" s="2"/>
    </row>
    <row r="225" spans="1:17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3"/>
      <c r="N225" s="2"/>
      <c r="O225" s="2"/>
      <c r="P225" s="2"/>
      <c r="Q225" s="2"/>
    </row>
    <row r="226" spans="1:17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3"/>
      <c r="N226" s="2"/>
      <c r="O226" s="2"/>
      <c r="P226" s="2"/>
      <c r="Q226" s="2"/>
    </row>
    <row r="227" spans="1:1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3"/>
      <c r="N227" s="2"/>
      <c r="O227" s="2"/>
      <c r="P227" s="2"/>
      <c r="Q227" s="2"/>
    </row>
    <row r="228" spans="1:17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3"/>
      <c r="N228" s="2"/>
      <c r="O228" s="2"/>
      <c r="P228" s="2"/>
      <c r="Q228" s="2"/>
    </row>
    <row r="229" spans="1:17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3"/>
      <c r="N229" s="2"/>
      <c r="O229" s="2"/>
      <c r="P229" s="2"/>
      <c r="Q229" s="2"/>
    </row>
    <row r="230" spans="1:17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3"/>
      <c r="N230" s="2"/>
      <c r="O230" s="2"/>
      <c r="P230" s="2"/>
      <c r="Q230" s="2"/>
    </row>
    <row r="231" spans="1:17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3"/>
      <c r="N231" s="2"/>
      <c r="O231" s="2"/>
      <c r="P231" s="2"/>
      <c r="Q231" s="2"/>
    </row>
    <row r="232" spans="1:17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3"/>
      <c r="N232" s="2"/>
      <c r="O232" s="2"/>
      <c r="P232" s="2"/>
      <c r="Q232" s="2"/>
    </row>
    <row r="233" spans="1:17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3"/>
      <c r="N233" s="2"/>
      <c r="O233" s="2"/>
      <c r="P233" s="2"/>
      <c r="Q233" s="2"/>
    </row>
    <row r="234" spans="1:17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3"/>
      <c r="N234" s="2"/>
      <c r="O234" s="2"/>
      <c r="P234" s="2"/>
      <c r="Q234" s="2"/>
    </row>
    <row r="235" spans="1:17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3"/>
      <c r="N235" s="2"/>
      <c r="O235" s="2"/>
      <c r="P235" s="2"/>
      <c r="Q235" s="2"/>
    </row>
    <row r="236" spans="1:17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3"/>
      <c r="N236" s="2"/>
      <c r="O236" s="2"/>
      <c r="P236" s="2"/>
      <c r="Q236" s="2"/>
    </row>
    <row r="237" spans="1:1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3"/>
      <c r="N237" s="2"/>
      <c r="O237" s="2"/>
      <c r="P237" s="2"/>
      <c r="Q237" s="2"/>
    </row>
    <row r="238" spans="1:17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3"/>
      <c r="N238" s="2"/>
      <c r="O238" s="2"/>
      <c r="P238" s="2"/>
      <c r="Q238" s="2"/>
    </row>
    <row r="239" spans="1:17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3"/>
      <c r="N239" s="2"/>
      <c r="O239" s="2"/>
      <c r="P239" s="2"/>
      <c r="Q239" s="2"/>
    </row>
    <row r="240" spans="1:17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3"/>
      <c r="N240" s="2"/>
      <c r="O240" s="2"/>
      <c r="P240" s="2"/>
      <c r="Q240" s="2"/>
    </row>
    <row r="241" spans="1:17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3"/>
      <c r="N241" s="2"/>
      <c r="O241" s="2"/>
      <c r="P241" s="2"/>
      <c r="Q241" s="2"/>
    </row>
    <row r="242" spans="1:17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3"/>
      <c r="N242" s="2"/>
      <c r="O242" s="2"/>
      <c r="P242" s="2"/>
      <c r="Q242" s="2"/>
    </row>
    <row r="243" spans="1:17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3"/>
      <c r="N243" s="2"/>
      <c r="O243" s="2"/>
      <c r="P243" s="2"/>
      <c r="Q243" s="2"/>
    </row>
    <row r="244" spans="1:17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3"/>
      <c r="N244" s="2"/>
      <c r="O244" s="2"/>
      <c r="P244" s="2"/>
      <c r="Q244" s="2"/>
    </row>
    <row r="245" spans="1:17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3"/>
      <c r="N245" s="2"/>
      <c r="O245" s="2"/>
      <c r="P245" s="2"/>
      <c r="Q245" s="2"/>
    </row>
    <row r="246" spans="1:17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3"/>
      <c r="N246" s="2"/>
      <c r="O246" s="2"/>
      <c r="P246" s="2"/>
      <c r="Q246" s="2"/>
    </row>
    <row r="247" spans="1:1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3"/>
      <c r="N247" s="2"/>
      <c r="O247" s="2"/>
      <c r="P247" s="2"/>
      <c r="Q247" s="2"/>
    </row>
    <row r="248" spans="1:17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3"/>
      <c r="N248" s="2"/>
      <c r="O248" s="2"/>
      <c r="P248" s="2"/>
      <c r="Q248" s="2"/>
    </row>
    <row r="249" spans="1:17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3"/>
      <c r="N249" s="2"/>
      <c r="O249" s="2"/>
      <c r="P249" s="2"/>
      <c r="Q249" s="2"/>
    </row>
    <row r="250" spans="1:17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3"/>
      <c r="N250" s="2"/>
      <c r="O250" s="2"/>
      <c r="P250" s="2"/>
      <c r="Q250" s="2"/>
    </row>
    <row r="251" spans="1:17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3"/>
      <c r="N251" s="2"/>
      <c r="O251" s="2"/>
      <c r="P251" s="2"/>
      <c r="Q251" s="2"/>
    </row>
    <row r="252" spans="1:17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3"/>
      <c r="N252" s="2"/>
      <c r="O252" s="2"/>
      <c r="P252" s="2"/>
      <c r="Q252" s="2"/>
    </row>
    <row r="253" spans="1:17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3"/>
      <c r="N253" s="2"/>
      <c r="O253" s="2"/>
      <c r="P253" s="2"/>
      <c r="Q253" s="2"/>
    </row>
    <row r="254" spans="1:17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3"/>
      <c r="N254" s="2"/>
      <c r="O254" s="2"/>
      <c r="P254" s="2"/>
      <c r="Q254" s="2"/>
    </row>
    <row r="255" spans="1:17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3"/>
      <c r="N255" s="2"/>
      <c r="O255" s="2"/>
      <c r="P255" s="2"/>
      <c r="Q255" s="2"/>
    </row>
    <row r="256" spans="1:17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3"/>
      <c r="N256" s="2"/>
      <c r="O256" s="2"/>
      <c r="P256" s="2"/>
      <c r="Q256" s="2"/>
    </row>
    <row r="257" spans="1:1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3"/>
      <c r="N257" s="2"/>
      <c r="O257" s="2"/>
      <c r="P257" s="2"/>
      <c r="Q257" s="2"/>
    </row>
    <row r="258" spans="1:17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3"/>
      <c r="N258" s="2"/>
      <c r="O258" s="2"/>
      <c r="P258" s="2"/>
      <c r="Q258" s="2"/>
    </row>
    <row r="259" spans="1:17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3"/>
      <c r="N259" s="2"/>
      <c r="O259" s="2"/>
      <c r="P259" s="2"/>
      <c r="Q259" s="2"/>
    </row>
    <row r="260" spans="1:17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3"/>
      <c r="N260" s="2"/>
      <c r="O260" s="2"/>
      <c r="P260" s="2"/>
      <c r="Q260" s="2"/>
    </row>
    <row r="261" spans="1:17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3"/>
      <c r="N261" s="2"/>
      <c r="O261" s="2"/>
      <c r="P261" s="2"/>
      <c r="Q261" s="2"/>
    </row>
    <row r="262" spans="1:17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3"/>
      <c r="N262" s="2"/>
      <c r="O262" s="2"/>
      <c r="P262" s="2"/>
      <c r="Q262" s="2"/>
    </row>
    <row r="263" spans="1:17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3"/>
      <c r="N263" s="2"/>
      <c r="O263" s="2"/>
      <c r="P263" s="2"/>
      <c r="Q263" s="2"/>
    </row>
    <row r="264" spans="1:17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3"/>
      <c r="N264" s="2"/>
      <c r="O264" s="2"/>
      <c r="P264" s="2"/>
      <c r="Q264" s="2"/>
    </row>
    <row r="265" spans="1:17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3"/>
      <c r="N265" s="2"/>
      <c r="O265" s="2"/>
      <c r="P265" s="2"/>
      <c r="Q265" s="2"/>
    </row>
    <row r="266" spans="1:17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3"/>
      <c r="N266" s="2"/>
      <c r="O266" s="2"/>
      <c r="P266" s="2"/>
      <c r="Q266" s="2"/>
    </row>
    <row r="267" spans="1:1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3"/>
      <c r="N267" s="2"/>
      <c r="O267" s="2"/>
      <c r="P267" s="2"/>
      <c r="Q267" s="2"/>
    </row>
    <row r="268" spans="1:17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3"/>
      <c r="N268" s="2"/>
      <c r="O268" s="2"/>
      <c r="P268" s="2"/>
      <c r="Q268" s="2"/>
    </row>
    <row r="269" spans="1:17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3"/>
      <c r="N269" s="2"/>
      <c r="O269" s="2"/>
      <c r="P269" s="2"/>
      <c r="Q269" s="2"/>
    </row>
    <row r="270" spans="1:17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3"/>
      <c r="N270" s="2"/>
      <c r="O270" s="2"/>
      <c r="P270" s="2"/>
      <c r="Q270" s="2"/>
    </row>
    <row r="271" spans="1:17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3"/>
      <c r="N271" s="2"/>
      <c r="O271" s="2"/>
      <c r="P271" s="2"/>
      <c r="Q271" s="2"/>
    </row>
    <row r="272" spans="1:17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3"/>
      <c r="N272" s="2"/>
      <c r="O272" s="2"/>
      <c r="P272" s="2"/>
      <c r="Q272" s="2"/>
    </row>
    <row r="273" spans="1:17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3"/>
      <c r="N273" s="2"/>
      <c r="O273" s="2"/>
      <c r="P273" s="2"/>
      <c r="Q273" s="2"/>
    </row>
    <row r="274" spans="1:17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3"/>
      <c r="N274" s="2"/>
      <c r="O274" s="2"/>
      <c r="P274" s="2"/>
      <c r="Q274" s="2"/>
    </row>
    <row r="275" spans="1:17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3"/>
      <c r="N275" s="2"/>
      <c r="O275" s="2"/>
      <c r="P275" s="2"/>
      <c r="Q275" s="2"/>
    </row>
    <row r="276" spans="1:17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3"/>
      <c r="N276" s="2"/>
      <c r="O276" s="2"/>
      <c r="P276" s="2"/>
      <c r="Q276" s="2"/>
    </row>
    <row r="277" spans="1:1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3"/>
      <c r="N277" s="2"/>
      <c r="O277" s="2"/>
      <c r="P277" s="2"/>
      <c r="Q277" s="2"/>
    </row>
    <row r="278" spans="1:17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3"/>
      <c r="N278" s="2"/>
      <c r="O278" s="2"/>
      <c r="P278" s="2"/>
      <c r="Q278" s="2"/>
    </row>
    <row r="279" spans="1:17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3"/>
      <c r="N279" s="2"/>
      <c r="O279" s="2"/>
      <c r="P279" s="2"/>
      <c r="Q279" s="2"/>
    </row>
    <row r="280" spans="1:17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3"/>
      <c r="N280" s="2"/>
      <c r="O280" s="2"/>
      <c r="P280" s="2"/>
      <c r="Q280" s="2"/>
    </row>
    <row r="281" spans="1:17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3"/>
      <c r="N281" s="2"/>
      <c r="O281" s="2"/>
      <c r="P281" s="2"/>
      <c r="Q281" s="2"/>
    </row>
    <row r="282" spans="1:17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3"/>
      <c r="N282" s="2"/>
      <c r="O282" s="2"/>
      <c r="P282" s="2"/>
      <c r="Q282" s="2"/>
    </row>
    <row r="283" spans="1:17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3"/>
      <c r="N283" s="2"/>
      <c r="O283" s="2"/>
      <c r="P283" s="2"/>
      <c r="Q283" s="2"/>
    </row>
    <row r="284" spans="1:17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3"/>
      <c r="N284" s="2"/>
      <c r="O284" s="2"/>
      <c r="P284" s="2"/>
      <c r="Q284" s="2"/>
    </row>
    <row r="285" spans="1:17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3"/>
      <c r="N285" s="2"/>
      <c r="O285" s="2"/>
      <c r="P285" s="2"/>
      <c r="Q285" s="2"/>
    </row>
    <row r="286" spans="1:17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3"/>
      <c r="N286" s="2"/>
      <c r="O286" s="2"/>
      <c r="P286" s="2"/>
      <c r="Q286" s="2"/>
    </row>
    <row r="287" spans="1:1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3"/>
      <c r="N287" s="2"/>
      <c r="O287" s="2"/>
      <c r="P287" s="2"/>
      <c r="Q287" s="2"/>
    </row>
    <row r="288" spans="1:17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3"/>
      <c r="N288" s="2"/>
      <c r="O288" s="2"/>
      <c r="P288" s="2"/>
      <c r="Q288" s="2"/>
    </row>
    <row r="289" spans="1:17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3"/>
      <c r="N289" s="2"/>
      <c r="O289" s="2"/>
      <c r="P289" s="2"/>
      <c r="Q289" s="2"/>
    </row>
    <row r="290" spans="1:17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3"/>
      <c r="N290" s="2"/>
      <c r="O290" s="2"/>
      <c r="P290" s="2"/>
      <c r="Q290" s="2"/>
    </row>
    <row r="291" spans="1:17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3"/>
      <c r="N291" s="2"/>
      <c r="O291" s="2"/>
      <c r="P291" s="2"/>
      <c r="Q291" s="2"/>
    </row>
    <row r="292" spans="1:17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3"/>
      <c r="N292" s="2"/>
      <c r="O292" s="2"/>
      <c r="P292" s="2"/>
      <c r="Q292" s="2"/>
    </row>
    <row r="293" spans="1:17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3"/>
      <c r="N293" s="2"/>
      <c r="O293" s="2"/>
      <c r="P293" s="2"/>
      <c r="Q293" s="2"/>
    </row>
    <row r="294" spans="1:17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3"/>
      <c r="N294" s="2"/>
      <c r="O294" s="2"/>
      <c r="P294" s="2"/>
      <c r="Q294" s="2"/>
    </row>
    <row r="295" spans="1:17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3"/>
      <c r="N295" s="2"/>
      <c r="O295" s="2"/>
      <c r="P295" s="2"/>
      <c r="Q295" s="2"/>
    </row>
    <row r="296" spans="1:17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3"/>
      <c r="N296" s="2"/>
      <c r="O296" s="2"/>
      <c r="P296" s="2"/>
      <c r="Q296" s="2"/>
    </row>
    <row r="297" spans="1:1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3"/>
      <c r="N297" s="2"/>
      <c r="O297" s="2"/>
      <c r="P297" s="2"/>
      <c r="Q297" s="2"/>
    </row>
    <row r="298" spans="1:17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3"/>
      <c r="N298" s="2"/>
      <c r="O298" s="2"/>
      <c r="P298" s="2"/>
      <c r="Q298" s="2"/>
    </row>
    <row r="299" spans="1:17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3"/>
      <c r="N299" s="2"/>
      <c r="O299" s="2"/>
      <c r="P299" s="2"/>
      <c r="Q299" s="2"/>
    </row>
    <row r="300" spans="1:17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3"/>
      <c r="N300" s="2"/>
      <c r="O300" s="2"/>
      <c r="P300" s="2"/>
      <c r="Q300" s="2"/>
    </row>
    <row r="301" spans="1:17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3"/>
      <c r="N301" s="2"/>
      <c r="O301" s="2"/>
      <c r="P301" s="2"/>
      <c r="Q301" s="2"/>
    </row>
    <row r="302" spans="1:17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3"/>
      <c r="N302" s="2"/>
      <c r="O302" s="2"/>
      <c r="P302" s="2"/>
      <c r="Q302" s="2"/>
    </row>
    <row r="303" spans="1:17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3"/>
      <c r="N303" s="2"/>
      <c r="O303" s="2"/>
      <c r="P303" s="2"/>
      <c r="Q303" s="2"/>
    </row>
    <row r="304" spans="1:17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3"/>
      <c r="N304" s="2"/>
      <c r="O304" s="2"/>
      <c r="P304" s="2"/>
      <c r="Q304" s="2"/>
    </row>
    <row r="305" spans="1:17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3"/>
      <c r="N305" s="2"/>
      <c r="O305" s="2"/>
      <c r="P305" s="2"/>
      <c r="Q305" s="2"/>
    </row>
    <row r="306" spans="1:17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3"/>
      <c r="N306" s="2"/>
      <c r="O306" s="2"/>
      <c r="P306" s="2"/>
      <c r="Q306" s="2"/>
    </row>
    <row r="307" spans="1:1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3"/>
      <c r="N307" s="2"/>
      <c r="O307" s="2"/>
      <c r="P307" s="2"/>
      <c r="Q307" s="2"/>
    </row>
    <row r="308" spans="1:17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3"/>
      <c r="N308" s="2"/>
      <c r="O308" s="2"/>
      <c r="P308" s="2"/>
      <c r="Q308" s="2"/>
    </row>
    <row r="309" spans="1:17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3"/>
      <c r="N309" s="2"/>
      <c r="O309" s="2"/>
      <c r="P309" s="2"/>
      <c r="Q309" s="2"/>
    </row>
    <row r="310" spans="1:17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3"/>
      <c r="N310" s="2"/>
      <c r="O310" s="2"/>
      <c r="P310" s="2"/>
      <c r="Q310" s="2"/>
    </row>
    <row r="311" spans="1:17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3"/>
      <c r="N311" s="2"/>
      <c r="O311" s="2"/>
      <c r="P311" s="2"/>
      <c r="Q311" s="2"/>
    </row>
    <row r="312" spans="1:17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3"/>
      <c r="N312" s="2"/>
      <c r="O312" s="2"/>
      <c r="P312" s="2"/>
      <c r="Q312" s="2"/>
    </row>
    <row r="313" spans="1:17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3"/>
      <c r="N313" s="2"/>
      <c r="O313" s="2"/>
      <c r="P313" s="2"/>
      <c r="Q313" s="2"/>
    </row>
    <row r="314" spans="1:17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3"/>
      <c r="N314" s="2"/>
      <c r="O314" s="2"/>
      <c r="P314" s="2"/>
      <c r="Q314" s="2"/>
    </row>
    <row r="315" spans="1:17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3"/>
      <c r="N315" s="2"/>
      <c r="O315" s="2"/>
      <c r="P315" s="2"/>
      <c r="Q315" s="2"/>
    </row>
    <row r="316" spans="1:17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3"/>
      <c r="N316" s="2"/>
      <c r="O316" s="2"/>
      <c r="P316" s="2"/>
      <c r="Q316" s="2"/>
    </row>
    <row r="317" spans="1: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3"/>
      <c r="N317" s="2"/>
      <c r="O317" s="2"/>
      <c r="P317" s="2"/>
      <c r="Q317" s="2"/>
    </row>
    <row r="318" spans="1:17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3"/>
      <c r="N318" s="2"/>
      <c r="O318" s="2"/>
      <c r="P318" s="2"/>
      <c r="Q318" s="2"/>
    </row>
    <row r="319" spans="1:17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3"/>
      <c r="N319" s="2"/>
      <c r="O319" s="2"/>
      <c r="P319" s="2"/>
      <c r="Q319" s="2"/>
    </row>
    <row r="320" spans="1:17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3"/>
      <c r="N320" s="2"/>
      <c r="O320" s="2"/>
      <c r="P320" s="2"/>
      <c r="Q320" s="2"/>
    </row>
    <row r="321" spans="1:17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3"/>
      <c r="N321" s="2"/>
      <c r="O321" s="2"/>
      <c r="P321" s="2"/>
      <c r="Q321" s="2"/>
    </row>
    <row r="322" spans="1:17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3"/>
      <c r="N322" s="2"/>
      <c r="O322" s="2"/>
      <c r="P322" s="2"/>
      <c r="Q322" s="2"/>
    </row>
    <row r="323" spans="1:17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3"/>
      <c r="N323" s="2"/>
      <c r="O323" s="2"/>
      <c r="P323" s="2"/>
      <c r="Q323" s="2"/>
    </row>
    <row r="324" spans="1:17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3"/>
      <c r="N324" s="2"/>
      <c r="O324" s="2"/>
      <c r="P324" s="2"/>
      <c r="Q324" s="2"/>
    </row>
    <row r="325" spans="1:17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3"/>
      <c r="N325" s="2"/>
      <c r="O325" s="2"/>
      <c r="P325" s="2"/>
      <c r="Q325" s="2"/>
    </row>
    <row r="326" spans="1:17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3"/>
      <c r="N326" s="2"/>
      <c r="O326" s="2"/>
      <c r="P326" s="2"/>
      <c r="Q326" s="2"/>
    </row>
    <row r="327" spans="1:1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3"/>
      <c r="N327" s="2"/>
      <c r="O327" s="2"/>
      <c r="P327" s="2"/>
      <c r="Q327" s="2"/>
    </row>
    <row r="328" spans="1:17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3"/>
      <c r="N328" s="2"/>
      <c r="O328" s="2"/>
      <c r="P328" s="2"/>
      <c r="Q328" s="2"/>
    </row>
    <row r="329" spans="1:17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3"/>
      <c r="N329" s="2"/>
      <c r="O329" s="2"/>
      <c r="P329" s="2"/>
      <c r="Q329" s="2"/>
    </row>
    <row r="330" spans="1:17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3"/>
      <c r="N330" s="2"/>
      <c r="O330" s="2"/>
      <c r="P330" s="2"/>
      <c r="Q330" s="2"/>
    </row>
    <row r="331" spans="1:17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3"/>
      <c r="N331" s="2"/>
      <c r="O331" s="2"/>
      <c r="P331" s="2"/>
      <c r="Q331" s="2"/>
    </row>
    <row r="332" spans="1:17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3"/>
      <c r="N332" s="2"/>
      <c r="O332" s="2"/>
      <c r="P332" s="2"/>
      <c r="Q332" s="2"/>
    </row>
    <row r="333" spans="1:17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3"/>
      <c r="N333" s="2"/>
      <c r="O333" s="2"/>
      <c r="P333" s="2"/>
      <c r="Q333" s="2"/>
    </row>
    <row r="334" spans="1:17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3"/>
      <c r="N334" s="2"/>
      <c r="O334" s="2"/>
      <c r="P334" s="2"/>
      <c r="Q334" s="2"/>
    </row>
    <row r="335" spans="1:17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3"/>
      <c r="N335" s="2"/>
      <c r="O335" s="2"/>
      <c r="P335" s="2"/>
      <c r="Q335" s="2"/>
    </row>
    <row r="336" spans="1:17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3"/>
      <c r="N336" s="2"/>
      <c r="O336" s="2"/>
      <c r="P336" s="2"/>
      <c r="Q336" s="2"/>
    </row>
    <row r="337" spans="1:1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3"/>
      <c r="N337" s="2"/>
      <c r="O337" s="2"/>
      <c r="P337" s="2"/>
      <c r="Q337" s="2"/>
    </row>
    <row r="338" spans="1:17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3"/>
      <c r="N338" s="2"/>
      <c r="O338" s="2"/>
      <c r="P338" s="2"/>
      <c r="Q338" s="2"/>
    </row>
    <row r="339" spans="1:17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3"/>
      <c r="N339" s="2"/>
      <c r="O339" s="2"/>
      <c r="P339" s="2"/>
      <c r="Q339" s="2"/>
    </row>
    <row r="340" spans="1:17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3"/>
      <c r="N340" s="2"/>
      <c r="O340" s="2"/>
      <c r="P340" s="2"/>
      <c r="Q340" s="2"/>
    </row>
    <row r="341" spans="1:17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3"/>
      <c r="N341" s="2"/>
      <c r="O341" s="2"/>
      <c r="P341" s="2"/>
      <c r="Q341" s="2"/>
    </row>
    <row r="342" spans="1:17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3"/>
      <c r="N342" s="2"/>
      <c r="O342" s="2"/>
      <c r="P342" s="2"/>
      <c r="Q342" s="2"/>
    </row>
    <row r="343" spans="1:17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3"/>
      <c r="N343" s="2"/>
      <c r="O343" s="2"/>
      <c r="P343" s="2"/>
      <c r="Q343" s="2"/>
    </row>
    <row r="344" spans="1:17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3"/>
      <c r="N344" s="2"/>
      <c r="O344" s="2"/>
      <c r="P344" s="2"/>
      <c r="Q344" s="2"/>
    </row>
    <row r="345" spans="1:17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3"/>
      <c r="N345" s="2"/>
      <c r="O345" s="2"/>
      <c r="P345" s="2"/>
      <c r="Q345" s="2"/>
    </row>
    <row r="346" spans="1:17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3"/>
      <c r="N346" s="2"/>
      <c r="O346" s="2"/>
      <c r="P346" s="2"/>
      <c r="Q346" s="2"/>
    </row>
    <row r="347" spans="1:1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3"/>
      <c r="N347" s="2"/>
      <c r="O347" s="2"/>
      <c r="P347" s="2"/>
      <c r="Q347" s="2"/>
    </row>
    <row r="348" spans="1:17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3"/>
      <c r="N348" s="2"/>
      <c r="O348" s="2"/>
      <c r="P348" s="2"/>
      <c r="Q348" s="2"/>
    </row>
    <row r="349" spans="1:17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3"/>
      <c r="N349" s="2"/>
      <c r="O349" s="2"/>
      <c r="P349" s="2"/>
      <c r="Q349" s="2"/>
    </row>
    <row r="350" spans="1:17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3"/>
      <c r="N350" s="2"/>
      <c r="O350" s="2"/>
      <c r="P350" s="2"/>
      <c r="Q350" s="2"/>
    </row>
    <row r="351" spans="1:17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3"/>
      <c r="N351" s="2"/>
      <c r="O351" s="2"/>
      <c r="P351" s="2"/>
      <c r="Q351" s="2"/>
    </row>
    <row r="352" spans="1:17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3"/>
      <c r="N352" s="2"/>
      <c r="O352" s="2"/>
      <c r="P352" s="2"/>
      <c r="Q352" s="2"/>
    </row>
    <row r="353" spans="1:17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3"/>
      <c r="N353" s="2"/>
      <c r="O353" s="2"/>
      <c r="P353" s="2"/>
      <c r="Q353" s="2"/>
    </row>
    <row r="354" spans="1:17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3"/>
      <c r="N354" s="2"/>
      <c r="O354" s="2"/>
      <c r="P354" s="2"/>
      <c r="Q354" s="2"/>
    </row>
    <row r="355" spans="1:17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3"/>
      <c r="N355" s="2"/>
      <c r="O355" s="2"/>
      <c r="P355" s="2"/>
      <c r="Q355" s="2"/>
    </row>
    <row r="356" spans="1:17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3"/>
      <c r="N356" s="2"/>
      <c r="O356" s="2"/>
      <c r="P356" s="2"/>
      <c r="Q356" s="2"/>
    </row>
    <row r="357" spans="1:1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3"/>
      <c r="N357" s="2"/>
      <c r="O357" s="2"/>
      <c r="P357" s="2"/>
      <c r="Q357" s="2"/>
    </row>
    <row r="358" spans="1:17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3"/>
      <c r="N358" s="2"/>
      <c r="O358" s="2"/>
      <c r="P358" s="2"/>
      <c r="Q358" s="2"/>
    </row>
    <row r="359" spans="1:17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3"/>
      <c r="N359" s="2"/>
      <c r="O359" s="2"/>
      <c r="P359" s="2"/>
      <c r="Q359" s="2"/>
    </row>
    <row r="360" spans="1:17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3"/>
      <c r="N360" s="2"/>
      <c r="O360" s="2"/>
      <c r="P360" s="2"/>
      <c r="Q360" s="2"/>
    </row>
    <row r="361" spans="1:17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3"/>
      <c r="N361" s="2"/>
      <c r="O361" s="2"/>
      <c r="P361" s="2"/>
      <c r="Q361" s="2"/>
    </row>
    <row r="362" spans="1:17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3"/>
      <c r="N362" s="2"/>
      <c r="O362" s="2"/>
      <c r="P362" s="2"/>
      <c r="Q362" s="2"/>
    </row>
    <row r="363" spans="1:17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3"/>
      <c r="N363" s="2"/>
      <c r="O363" s="2"/>
      <c r="P363" s="2"/>
      <c r="Q363" s="2"/>
    </row>
    <row r="364" spans="1:17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3"/>
      <c r="N364" s="2"/>
      <c r="O364" s="2"/>
      <c r="P364" s="2"/>
      <c r="Q364" s="2"/>
    </row>
    <row r="365" spans="1:17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3"/>
      <c r="N365" s="2"/>
      <c r="O365" s="2"/>
      <c r="P365" s="2"/>
      <c r="Q365" s="2"/>
    </row>
    <row r="366" spans="1:17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3"/>
      <c r="N366" s="2"/>
      <c r="O366" s="2"/>
      <c r="P366" s="2"/>
      <c r="Q366" s="2"/>
    </row>
    <row r="367" spans="1:1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3"/>
      <c r="N367" s="2"/>
      <c r="O367" s="2"/>
      <c r="P367" s="2"/>
      <c r="Q367" s="2"/>
    </row>
    <row r="368" spans="1:17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3"/>
      <c r="N368" s="2"/>
      <c r="O368" s="2"/>
      <c r="P368" s="2"/>
      <c r="Q368" s="2"/>
    </row>
    <row r="369" spans="1:17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3"/>
      <c r="N369" s="2"/>
      <c r="O369" s="2"/>
      <c r="P369" s="2"/>
      <c r="Q369" s="2"/>
    </row>
    <row r="370" spans="1:17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3"/>
      <c r="N370" s="2"/>
      <c r="O370" s="2"/>
      <c r="P370" s="2"/>
      <c r="Q370" s="2"/>
    </row>
    <row r="371" spans="1:17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3"/>
      <c r="N371" s="2"/>
      <c r="O371" s="2"/>
      <c r="P371" s="2"/>
      <c r="Q371" s="2"/>
    </row>
    <row r="372" spans="1:17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3"/>
      <c r="N372" s="2"/>
      <c r="O372" s="2"/>
      <c r="P372" s="2"/>
      <c r="Q372" s="2"/>
    </row>
    <row r="373" spans="1:17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3"/>
      <c r="N373" s="2"/>
      <c r="O373" s="2"/>
      <c r="P373" s="2"/>
      <c r="Q373" s="2"/>
    </row>
    <row r="374" spans="1:17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3"/>
      <c r="N374" s="2"/>
      <c r="O374" s="2"/>
      <c r="P374" s="2"/>
      <c r="Q374" s="2"/>
    </row>
    <row r="375" spans="1:17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3"/>
      <c r="N375" s="2"/>
      <c r="O375" s="2"/>
      <c r="P375" s="2"/>
      <c r="Q375" s="2"/>
    </row>
    <row r="376" spans="1:17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3"/>
      <c r="N376" s="2"/>
      <c r="O376" s="2"/>
      <c r="P376" s="2"/>
      <c r="Q376" s="2"/>
    </row>
    <row r="377" spans="1:1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3"/>
      <c r="N377" s="2"/>
      <c r="O377" s="2"/>
      <c r="P377" s="2"/>
      <c r="Q377" s="2"/>
    </row>
    <row r="378" spans="1:17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3"/>
      <c r="N378" s="2"/>
      <c r="O378" s="2"/>
      <c r="P378" s="2"/>
      <c r="Q378" s="2"/>
    </row>
    <row r="379" spans="1:17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3"/>
      <c r="N379" s="2"/>
      <c r="O379" s="2"/>
      <c r="P379" s="2"/>
      <c r="Q379" s="2"/>
    </row>
    <row r="380" spans="1:17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3"/>
      <c r="N380" s="2"/>
      <c r="O380" s="2"/>
      <c r="P380" s="2"/>
      <c r="Q380" s="2"/>
    </row>
    <row r="381" spans="1:17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3"/>
      <c r="N381" s="2"/>
      <c r="O381" s="2"/>
      <c r="P381" s="2"/>
      <c r="Q381" s="2"/>
    </row>
    <row r="382" spans="1:17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3"/>
      <c r="N382" s="2"/>
      <c r="O382" s="2"/>
      <c r="P382" s="2"/>
      <c r="Q382" s="2"/>
    </row>
    <row r="383" spans="1:17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3"/>
      <c r="N383" s="2"/>
      <c r="O383" s="2"/>
      <c r="P383" s="2"/>
      <c r="Q383" s="2"/>
    </row>
    <row r="384" spans="1:17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3"/>
      <c r="N384" s="2"/>
      <c r="O384" s="2"/>
      <c r="P384" s="2"/>
      <c r="Q384" s="2"/>
    </row>
    <row r="385" spans="1:17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3"/>
      <c r="N385" s="2"/>
      <c r="O385" s="2"/>
      <c r="P385" s="2"/>
      <c r="Q385" s="2"/>
    </row>
    <row r="386" spans="1:17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3"/>
      <c r="N386" s="2"/>
      <c r="O386" s="2"/>
      <c r="P386" s="2"/>
      <c r="Q386" s="2"/>
    </row>
    <row r="387" spans="1:1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3"/>
      <c r="N387" s="2"/>
      <c r="O387" s="2"/>
      <c r="P387" s="2"/>
      <c r="Q387" s="2"/>
    </row>
    <row r="388" spans="1:17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3"/>
      <c r="N388" s="2"/>
      <c r="O388" s="2"/>
      <c r="P388" s="2"/>
      <c r="Q388" s="2"/>
    </row>
    <row r="389" spans="1:17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3"/>
      <c r="N389" s="2"/>
      <c r="O389" s="2"/>
      <c r="P389" s="2"/>
      <c r="Q389" s="2"/>
    </row>
    <row r="390" spans="1:17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3"/>
      <c r="N390" s="2"/>
      <c r="O390" s="2"/>
      <c r="P390" s="2"/>
      <c r="Q390" s="2"/>
    </row>
    <row r="391" spans="1:17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3"/>
      <c r="N391" s="2"/>
      <c r="O391" s="2"/>
      <c r="P391" s="2"/>
      <c r="Q391" s="2"/>
    </row>
    <row r="392" spans="1:17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3"/>
      <c r="N392" s="2"/>
      <c r="O392" s="2"/>
      <c r="P392" s="2"/>
      <c r="Q392" s="2"/>
    </row>
    <row r="393" spans="1:17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3"/>
      <c r="N393" s="2"/>
      <c r="O393" s="2"/>
      <c r="P393" s="2"/>
      <c r="Q393" s="2"/>
    </row>
    <row r="394" spans="1:17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3"/>
      <c r="N394" s="2"/>
      <c r="O394" s="2"/>
      <c r="P394" s="2"/>
      <c r="Q394" s="2"/>
    </row>
    <row r="395" spans="1:17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3"/>
      <c r="N395" s="2"/>
      <c r="O395" s="2"/>
      <c r="P395" s="2"/>
      <c r="Q395" s="2"/>
    </row>
    <row r="396" spans="1:17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3"/>
      <c r="N396" s="2"/>
      <c r="O396" s="2"/>
      <c r="P396" s="2"/>
      <c r="Q396" s="2"/>
    </row>
    <row r="397" spans="1:1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3"/>
      <c r="N397" s="2"/>
      <c r="O397" s="2"/>
      <c r="P397" s="2"/>
      <c r="Q397" s="2"/>
    </row>
    <row r="398" spans="1:17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3"/>
      <c r="N398" s="2"/>
      <c r="O398" s="2"/>
      <c r="P398" s="2"/>
      <c r="Q398" s="2"/>
    </row>
    <row r="399" spans="1:17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3"/>
      <c r="N399" s="2"/>
      <c r="O399" s="2"/>
      <c r="P399" s="2"/>
      <c r="Q399" s="2"/>
    </row>
    <row r="400" spans="1:17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3"/>
      <c r="N400" s="2"/>
      <c r="O400" s="2"/>
      <c r="P400" s="2"/>
      <c r="Q400" s="2"/>
    </row>
    <row r="401" spans="1:17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3"/>
      <c r="N401" s="2"/>
      <c r="O401" s="2"/>
      <c r="P401" s="2"/>
      <c r="Q401" s="2"/>
    </row>
    <row r="402" spans="1:17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3"/>
      <c r="N402" s="2"/>
      <c r="O402" s="2"/>
      <c r="P402" s="2"/>
      <c r="Q402" s="2"/>
    </row>
    <row r="403" spans="1:17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3"/>
      <c r="N403" s="2"/>
      <c r="O403" s="2"/>
      <c r="P403" s="2"/>
      <c r="Q403" s="2"/>
    </row>
    <row r="404" spans="1:17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3"/>
      <c r="N404" s="2"/>
      <c r="O404" s="2"/>
      <c r="P404" s="2"/>
      <c r="Q404" s="2"/>
    </row>
    <row r="405" spans="1:17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3"/>
      <c r="N405" s="2"/>
      <c r="O405" s="2"/>
      <c r="P405" s="2"/>
      <c r="Q405" s="2"/>
    </row>
    <row r="406" spans="1:17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3"/>
      <c r="N406" s="2"/>
      <c r="O406" s="2"/>
      <c r="P406" s="2"/>
      <c r="Q406" s="2"/>
    </row>
    <row r="407" spans="1:1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3"/>
      <c r="N407" s="2"/>
      <c r="O407" s="2"/>
      <c r="P407" s="2"/>
      <c r="Q407" s="2"/>
    </row>
    <row r="408" spans="1:17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3"/>
      <c r="N408" s="2"/>
      <c r="O408" s="2"/>
      <c r="P408" s="2"/>
      <c r="Q408" s="2"/>
    </row>
    <row r="409" spans="1:17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3"/>
      <c r="N409" s="2"/>
      <c r="O409" s="2"/>
      <c r="P409" s="2"/>
      <c r="Q409" s="2"/>
    </row>
    <row r="410" spans="1:17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3"/>
      <c r="N410" s="2"/>
      <c r="O410" s="2"/>
      <c r="P410" s="2"/>
      <c r="Q410" s="2"/>
    </row>
    <row r="411" spans="1:17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3"/>
      <c r="N411" s="2"/>
      <c r="O411" s="2"/>
      <c r="P411" s="2"/>
      <c r="Q411" s="2"/>
    </row>
    <row r="412" spans="1:17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3"/>
      <c r="N412" s="2"/>
      <c r="O412" s="2"/>
      <c r="P412" s="2"/>
      <c r="Q412" s="2"/>
    </row>
    <row r="413" spans="1:17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3"/>
      <c r="N413" s="2"/>
      <c r="O413" s="2"/>
      <c r="P413" s="2"/>
      <c r="Q413" s="2"/>
    </row>
    <row r="414" spans="1:17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3"/>
      <c r="N414" s="2"/>
      <c r="O414" s="2"/>
      <c r="P414" s="2"/>
      <c r="Q414" s="2"/>
    </row>
    <row r="415" spans="1:17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3"/>
      <c r="N415" s="2"/>
      <c r="O415" s="2"/>
      <c r="P415" s="2"/>
      <c r="Q415" s="2"/>
    </row>
    <row r="416" spans="1:17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3"/>
      <c r="N416" s="2"/>
      <c r="O416" s="2"/>
      <c r="P416" s="2"/>
      <c r="Q416" s="2"/>
    </row>
    <row r="417" spans="1: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3"/>
      <c r="N417" s="2"/>
      <c r="O417" s="2"/>
      <c r="P417" s="2"/>
      <c r="Q417" s="2"/>
    </row>
    <row r="418" spans="1:17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3"/>
      <c r="N418" s="2"/>
      <c r="O418" s="2"/>
      <c r="P418" s="2"/>
      <c r="Q418" s="2"/>
    </row>
    <row r="419" spans="1:17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3"/>
      <c r="N419" s="2"/>
      <c r="O419" s="2"/>
      <c r="P419" s="2"/>
      <c r="Q419" s="2"/>
    </row>
    <row r="420" spans="1:17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3"/>
      <c r="N420" s="2"/>
      <c r="O420" s="2"/>
      <c r="P420" s="2"/>
      <c r="Q420" s="2"/>
    </row>
    <row r="421" spans="1:17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3"/>
      <c r="N421" s="2"/>
      <c r="O421" s="2"/>
      <c r="P421" s="2"/>
      <c r="Q421" s="2"/>
    </row>
    <row r="422" spans="1:17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3"/>
      <c r="N422" s="2"/>
      <c r="O422" s="2"/>
      <c r="P422" s="2"/>
      <c r="Q422" s="2"/>
    </row>
    <row r="423" spans="1:17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3"/>
      <c r="N423" s="2"/>
      <c r="O423" s="2"/>
      <c r="P423" s="2"/>
      <c r="Q423" s="2"/>
    </row>
    <row r="424" spans="1:17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3"/>
      <c r="N424" s="2"/>
      <c r="O424" s="2"/>
      <c r="P424" s="2"/>
      <c r="Q424" s="2"/>
    </row>
    <row r="425" spans="1:17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3"/>
      <c r="N425" s="2"/>
      <c r="O425" s="2"/>
      <c r="P425" s="2"/>
      <c r="Q425" s="2"/>
    </row>
    <row r="426" spans="1:17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3"/>
      <c r="N426" s="2"/>
      <c r="O426" s="2"/>
      <c r="P426" s="2"/>
      <c r="Q426" s="2"/>
    </row>
    <row r="427" spans="1:1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3"/>
      <c r="N427" s="2"/>
      <c r="O427" s="2"/>
      <c r="P427" s="2"/>
      <c r="Q427" s="2"/>
    </row>
    <row r="428" spans="1:17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3"/>
      <c r="N428" s="2"/>
      <c r="O428" s="2"/>
      <c r="P428" s="2"/>
      <c r="Q428" s="2"/>
    </row>
    <row r="429" spans="1:17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3"/>
      <c r="N429" s="2"/>
      <c r="O429" s="2"/>
      <c r="P429" s="2"/>
      <c r="Q429" s="2"/>
    </row>
    <row r="430" spans="1:17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3"/>
      <c r="N430" s="2"/>
      <c r="O430" s="2"/>
      <c r="P430" s="2"/>
      <c r="Q430" s="2"/>
    </row>
    <row r="431" spans="1:17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3"/>
      <c r="N431" s="2"/>
      <c r="O431" s="2"/>
      <c r="P431" s="2"/>
      <c r="Q431" s="2"/>
    </row>
    <row r="432" spans="1:17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3"/>
      <c r="N432" s="2"/>
      <c r="O432" s="2"/>
      <c r="P432" s="2"/>
      <c r="Q432" s="2"/>
    </row>
    <row r="433" spans="1:17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3"/>
      <c r="N433" s="2"/>
      <c r="O433" s="2"/>
      <c r="P433" s="2"/>
      <c r="Q433" s="2"/>
    </row>
    <row r="434" spans="1:17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3"/>
      <c r="N434" s="2"/>
      <c r="O434" s="2"/>
      <c r="P434" s="2"/>
      <c r="Q434" s="2"/>
    </row>
    <row r="435" spans="1:17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3"/>
      <c r="N435" s="2"/>
      <c r="O435" s="2"/>
      <c r="P435" s="2"/>
      <c r="Q435" s="2"/>
    </row>
    <row r="436" spans="1:17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3"/>
      <c r="N436" s="2"/>
      <c r="O436" s="2"/>
      <c r="P436" s="2"/>
      <c r="Q436" s="2"/>
    </row>
    <row r="437" spans="1:1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3"/>
      <c r="N437" s="2"/>
      <c r="O437" s="2"/>
      <c r="P437" s="2"/>
      <c r="Q437" s="2"/>
    </row>
    <row r="438" spans="1:17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3"/>
      <c r="N438" s="2"/>
      <c r="O438" s="2"/>
      <c r="P438" s="2"/>
      <c r="Q438" s="2"/>
    </row>
    <row r="439" spans="1:17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3"/>
      <c r="N439" s="2"/>
      <c r="O439" s="2"/>
      <c r="P439" s="2"/>
      <c r="Q439" s="2"/>
    </row>
    <row r="440" spans="1:17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3"/>
      <c r="N440" s="2"/>
      <c r="O440" s="2"/>
      <c r="P440" s="2"/>
      <c r="Q440" s="2"/>
    </row>
    <row r="441" spans="1:17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3"/>
      <c r="N441" s="2"/>
      <c r="O441" s="2"/>
      <c r="P441" s="2"/>
      <c r="Q441" s="2"/>
    </row>
    <row r="442" spans="1:17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3"/>
      <c r="N442" s="2"/>
      <c r="O442" s="2"/>
      <c r="P442" s="2"/>
      <c r="Q442" s="2"/>
    </row>
    <row r="443" spans="1:17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3"/>
      <c r="N443" s="2"/>
      <c r="O443" s="2"/>
      <c r="P443" s="2"/>
      <c r="Q443" s="2"/>
    </row>
    <row r="444" spans="1:17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3"/>
      <c r="N444" s="2"/>
      <c r="O444" s="2"/>
      <c r="P444" s="2"/>
      <c r="Q444" s="2"/>
    </row>
    <row r="445" spans="1:17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3"/>
      <c r="N445" s="2"/>
      <c r="O445" s="2"/>
      <c r="P445" s="2"/>
      <c r="Q445" s="2"/>
    </row>
    <row r="446" spans="1:17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3"/>
      <c r="N446" s="2"/>
      <c r="O446" s="2"/>
      <c r="P446" s="2"/>
      <c r="Q446" s="2"/>
    </row>
    <row r="447" spans="1:1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3"/>
      <c r="N447" s="2"/>
      <c r="O447" s="2"/>
      <c r="P447" s="2"/>
      <c r="Q447" s="2"/>
    </row>
    <row r="448" spans="1:17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3"/>
      <c r="N448" s="2"/>
      <c r="O448" s="2"/>
      <c r="P448" s="2"/>
      <c r="Q448" s="2"/>
    </row>
    <row r="449" spans="1:17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3"/>
      <c r="N449" s="2"/>
      <c r="O449" s="2"/>
      <c r="P449" s="2"/>
      <c r="Q449" s="2"/>
    </row>
    <row r="450" spans="1:17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3"/>
      <c r="N450" s="2"/>
      <c r="O450" s="2"/>
      <c r="P450" s="2"/>
      <c r="Q450" s="2"/>
    </row>
    <row r="451" spans="1:17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3"/>
      <c r="N451" s="2"/>
      <c r="O451" s="2"/>
      <c r="P451" s="2"/>
      <c r="Q451" s="2"/>
    </row>
    <row r="452" spans="1:17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3"/>
      <c r="N452" s="2"/>
      <c r="O452" s="2"/>
      <c r="P452" s="2"/>
      <c r="Q452" s="2"/>
    </row>
    <row r="453" spans="1:17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3"/>
      <c r="N453" s="2"/>
      <c r="O453" s="2"/>
      <c r="P453" s="2"/>
      <c r="Q453" s="2"/>
    </row>
    <row r="454" spans="1:17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3"/>
      <c r="N454" s="2"/>
      <c r="O454" s="2"/>
      <c r="P454" s="2"/>
      <c r="Q454" s="2"/>
    </row>
    <row r="455" spans="1:17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3"/>
      <c r="N455" s="2"/>
      <c r="O455" s="2"/>
      <c r="P455" s="2"/>
      <c r="Q455" s="2"/>
    </row>
    <row r="456" spans="1:17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3"/>
      <c r="N456" s="2"/>
      <c r="O456" s="2"/>
      <c r="P456" s="2"/>
      <c r="Q456" s="2"/>
    </row>
    <row r="457" spans="1:1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3"/>
      <c r="N457" s="2"/>
      <c r="O457" s="2"/>
      <c r="P457" s="2"/>
      <c r="Q457" s="2"/>
    </row>
    <row r="458" spans="1:17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3"/>
      <c r="N458" s="2"/>
      <c r="O458" s="2"/>
      <c r="P458" s="2"/>
      <c r="Q458" s="2"/>
    </row>
    <row r="459" spans="1:17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3"/>
      <c r="N459" s="2"/>
      <c r="O459" s="2"/>
      <c r="P459" s="2"/>
      <c r="Q459" s="2"/>
    </row>
    <row r="460" spans="1:17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3"/>
      <c r="N460" s="2"/>
      <c r="O460" s="2"/>
      <c r="P460" s="2"/>
      <c r="Q460" s="2"/>
    </row>
    <row r="461" spans="1:17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3"/>
      <c r="N461" s="2"/>
      <c r="O461" s="2"/>
      <c r="P461" s="2"/>
      <c r="Q461" s="2"/>
    </row>
    <row r="462" spans="1:17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3"/>
      <c r="N462" s="2"/>
      <c r="O462" s="2"/>
      <c r="P462" s="2"/>
      <c r="Q462" s="2"/>
    </row>
    <row r="463" spans="1:17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3"/>
      <c r="N463" s="2"/>
      <c r="O463" s="2"/>
      <c r="P463" s="2"/>
      <c r="Q463" s="2"/>
    </row>
    <row r="464" spans="1:17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3"/>
      <c r="N464" s="2"/>
      <c r="O464" s="2"/>
      <c r="P464" s="2"/>
      <c r="Q464" s="2"/>
    </row>
    <row r="465" spans="1:17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3"/>
      <c r="N465" s="2"/>
      <c r="O465" s="2"/>
      <c r="P465" s="2"/>
      <c r="Q465" s="2"/>
    </row>
    <row r="466" spans="1:17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3"/>
      <c r="N466" s="2"/>
      <c r="O466" s="2"/>
      <c r="P466" s="2"/>
      <c r="Q466" s="2"/>
    </row>
    <row r="467" spans="1:1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3"/>
      <c r="N467" s="2"/>
      <c r="O467" s="2"/>
      <c r="P467" s="2"/>
      <c r="Q467" s="2"/>
    </row>
    <row r="468" spans="1:17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3"/>
      <c r="N468" s="2"/>
      <c r="O468" s="2"/>
      <c r="P468" s="2"/>
      <c r="Q468" s="2"/>
    </row>
    <row r="469" spans="1:17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3"/>
      <c r="N469" s="2"/>
      <c r="O469" s="2"/>
      <c r="P469" s="2"/>
      <c r="Q469" s="2"/>
    </row>
    <row r="470" spans="1:17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3"/>
      <c r="N470" s="2"/>
      <c r="O470" s="2"/>
      <c r="P470" s="2"/>
      <c r="Q470" s="2"/>
    </row>
    <row r="471" spans="1:17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3"/>
      <c r="N471" s="2"/>
      <c r="O471" s="2"/>
      <c r="P471" s="2"/>
      <c r="Q471" s="2"/>
    </row>
    <row r="472" spans="1:17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3"/>
      <c r="N472" s="2"/>
      <c r="O472" s="2"/>
      <c r="P472" s="2"/>
      <c r="Q472" s="2"/>
    </row>
    <row r="473" spans="1:17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3"/>
      <c r="N473" s="2"/>
      <c r="O473" s="2"/>
      <c r="P473" s="2"/>
      <c r="Q473" s="2"/>
    </row>
    <row r="474" spans="1:17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3"/>
      <c r="N474" s="2"/>
      <c r="O474" s="2"/>
      <c r="P474" s="2"/>
      <c r="Q474" s="2"/>
    </row>
    <row r="475" spans="1:17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3"/>
      <c r="N475" s="2"/>
      <c r="O475" s="2"/>
      <c r="P475" s="2"/>
      <c r="Q475" s="2"/>
    </row>
    <row r="476" spans="1:17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3"/>
      <c r="N476" s="2"/>
      <c r="O476" s="2"/>
      <c r="P476" s="2"/>
      <c r="Q476" s="2"/>
    </row>
    <row r="477" spans="1:1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3"/>
      <c r="N477" s="2"/>
      <c r="O477" s="2"/>
      <c r="P477" s="2"/>
      <c r="Q477" s="2"/>
    </row>
    <row r="478" spans="1:17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3"/>
      <c r="N478" s="2"/>
      <c r="O478" s="2"/>
      <c r="P478" s="2"/>
      <c r="Q478" s="2"/>
    </row>
    <row r="479" spans="1:17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3"/>
      <c r="N479" s="2"/>
      <c r="O479" s="2"/>
      <c r="P479" s="2"/>
      <c r="Q479" s="2"/>
    </row>
    <row r="480" spans="1:17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3"/>
      <c r="N480" s="2"/>
      <c r="O480" s="2"/>
      <c r="P480" s="2"/>
      <c r="Q480" s="2"/>
    </row>
    <row r="481" spans="1:17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3"/>
      <c r="N481" s="2"/>
      <c r="O481" s="2"/>
      <c r="P481" s="2"/>
      <c r="Q481" s="2"/>
    </row>
    <row r="482" spans="1:17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3"/>
      <c r="N482" s="2"/>
      <c r="O482" s="2"/>
      <c r="P482" s="2"/>
      <c r="Q482" s="2"/>
    </row>
    <row r="483" spans="1:17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3"/>
      <c r="N483" s="2"/>
      <c r="O483" s="2"/>
      <c r="P483" s="2"/>
      <c r="Q483" s="2"/>
    </row>
    <row r="484" spans="1:17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3"/>
      <c r="N484" s="2"/>
      <c r="O484" s="2"/>
      <c r="P484" s="2"/>
      <c r="Q484" s="2"/>
    </row>
    <row r="485" spans="1:17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3"/>
      <c r="N485" s="2"/>
      <c r="O485" s="2"/>
      <c r="P485" s="2"/>
      <c r="Q485" s="2"/>
    </row>
    <row r="486" spans="1:17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3"/>
      <c r="N486" s="2"/>
      <c r="O486" s="2"/>
      <c r="P486" s="2"/>
      <c r="Q486" s="2"/>
    </row>
    <row r="487" spans="1:1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3"/>
      <c r="N487" s="2"/>
      <c r="O487" s="2"/>
      <c r="P487" s="2"/>
      <c r="Q487" s="2"/>
    </row>
    <row r="488" spans="1:17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3"/>
      <c r="N488" s="2"/>
      <c r="O488" s="2"/>
      <c r="P488" s="2"/>
      <c r="Q488" s="2"/>
    </row>
    <row r="489" spans="1:17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3"/>
      <c r="N489" s="2"/>
      <c r="O489" s="2"/>
      <c r="P489" s="2"/>
      <c r="Q489" s="2"/>
    </row>
    <row r="490" spans="1:17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3"/>
      <c r="N490" s="2"/>
      <c r="O490" s="2"/>
      <c r="P490" s="2"/>
      <c r="Q490" s="2"/>
    </row>
    <row r="491" spans="1:17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3"/>
      <c r="N491" s="2"/>
      <c r="O491" s="2"/>
      <c r="P491" s="2"/>
      <c r="Q491" s="2"/>
    </row>
    <row r="492" spans="1:17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3"/>
      <c r="N492" s="2"/>
      <c r="O492" s="2"/>
      <c r="P492" s="2"/>
      <c r="Q492" s="2"/>
    </row>
    <row r="493" spans="1:17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3"/>
      <c r="N493" s="2"/>
      <c r="O493" s="2"/>
      <c r="P493" s="2"/>
      <c r="Q493" s="2"/>
    </row>
    <row r="494" spans="1:17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3"/>
      <c r="N494" s="2"/>
      <c r="O494" s="2"/>
      <c r="P494" s="2"/>
      <c r="Q494" s="2"/>
    </row>
    <row r="495" spans="1:17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3"/>
      <c r="N495" s="2"/>
      <c r="O495" s="2"/>
      <c r="P495" s="2"/>
      <c r="Q495" s="2"/>
    </row>
    <row r="496" spans="1:17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3"/>
      <c r="N496" s="2"/>
      <c r="O496" s="2"/>
      <c r="P496" s="2"/>
      <c r="Q496" s="2"/>
    </row>
    <row r="497" spans="1:1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3"/>
      <c r="N497" s="2"/>
      <c r="O497" s="2"/>
      <c r="P497" s="2"/>
      <c r="Q497" s="2"/>
    </row>
    <row r="498" spans="1:17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3"/>
      <c r="N498" s="2"/>
      <c r="O498" s="2"/>
      <c r="P498" s="2"/>
      <c r="Q498" s="2"/>
    </row>
    <row r="499" spans="1:17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3"/>
      <c r="N499" s="2"/>
      <c r="O499" s="2"/>
      <c r="P499" s="2"/>
      <c r="Q499" s="2"/>
    </row>
    <row r="500" spans="1:17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3"/>
      <c r="N500" s="2"/>
      <c r="O500" s="2"/>
      <c r="P500" s="2"/>
      <c r="Q500" s="2"/>
    </row>
    <row r="501" spans="1:17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3"/>
      <c r="M501" s="3"/>
      <c r="N501" s="2"/>
      <c r="O501" s="2"/>
      <c r="P501" s="2"/>
      <c r="Q501" s="2"/>
    </row>
    <row r="502" spans="1:17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3"/>
      <c r="M502" s="3"/>
      <c r="N502" s="2"/>
      <c r="O502" s="2"/>
      <c r="P502" s="2"/>
      <c r="Q502" s="2"/>
    </row>
    <row r="503" spans="1:17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3"/>
      <c r="M503" s="3"/>
      <c r="N503" s="2"/>
      <c r="O503" s="2"/>
      <c r="P503" s="2"/>
      <c r="Q503" s="2"/>
    </row>
    <row r="504" spans="1:17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3"/>
      <c r="M504" s="3"/>
      <c r="N504" s="2"/>
      <c r="O504" s="2"/>
      <c r="P504" s="2"/>
      <c r="Q504" s="2"/>
    </row>
    <row r="505" spans="1:17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3"/>
      <c r="M505" s="3"/>
      <c r="N505" s="2"/>
      <c r="O505" s="2"/>
      <c r="P505" s="2"/>
      <c r="Q505" s="2"/>
    </row>
    <row r="506" spans="1:17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3"/>
      <c r="M506" s="3"/>
      <c r="N506" s="2"/>
      <c r="O506" s="2"/>
      <c r="P506" s="2"/>
      <c r="Q506" s="2"/>
    </row>
    <row r="507" spans="1:1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3"/>
      <c r="N507" s="2"/>
      <c r="O507" s="2"/>
      <c r="P507" s="2"/>
      <c r="Q507" s="2"/>
    </row>
    <row r="508" spans="1:17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3"/>
      <c r="M508" s="3"/>
      <c r="N508" s="2"/>
      <c r="O508" s="2"/>
      <c r="P508" s="2"/>
      <c r="Q508" s="2"/>
    </row>
    <row r="509" spans="1:17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3"/>
      <c r="M509" s="3"/>
      <c r="N509" s="2"/>
      <c r="O509" s="2"/>
      <c r="P509" s="2"/>
      <c r="Q509" s="2"/>
    </row>
    <row r="510" spans="1:17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3"/>
      <c r="M510" s="3"/>
      <c r="N510" s="2"/>
      <c r="O510" s="2"/>
      <c r="P510" s="2"/>
      <c r="Q510" s="2"/>
    </row>
    <row r="511" spans="1:17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3"/>
      <c r="M511" s="3"/>
      <c r="N511" s="2"/>
      <c r="O511" s="2"/>
      <c r="P511" s="2"/>
      <c r="Q511" s="2"/>
    </row>
    <row r="512" spans="1:17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3"/>
      <c r="M512" s="3"/>
      <c r="N512" s="2"/>
      <c r="O512" s="2"/>
      <c r="P512" s="2"/>
      <c r="Q512" s="2"/>
    </row>
    <row r="513" spans="1:17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3"/>
      <c r="M513" s="3"/>
      <c r="N513" s="2"/>
      <c r="O513" s="2"/>
      <c r="P513" s="2"/>
      <c r="Q513" s="2"/>
    </row>
    <row r="514" spans="1:17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3"/>
      <c r="M514" s="3"/>
      <c r="N514" s="2"/>
      <c r="O514" s="2"/>
      <c r="P514" s="2"/>
      <c r="Q514" s="2"/>
    </row>
    <row r="515" spans="1:17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3"/>
      <c r="M515" s="3"/>
      <c r="N515" s="2"/>
      <c r="O515" s="2"/>
      <c r="P515" s="2"/>
      <c r="Q515" s="2"/>
    </row>
    <row r="516" spans="1:17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3"/>
      <c r="M516" s="3"/>
      <c r="N516" s="2"/>
      <c r="O516" s="2"/>
      <c r="P516" s="2"/>
      <c r="Q516" s="2"/>
    </row>
    <row r="517" spans="1: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3"/>
      <c r="M517" s="3"/>
      <c r="N517" s="2"/>
      <c r="O517" s="2"/>
      <c r="P517" s="2"/>
      <c r="Q517" s="2"/>
    </row>
    <row r="518" spans="1:17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3"/>
      <c r="M518" s="3"/>
      <c r="N518" s="2"/>
      <c r="O518" s="2"/>
      <c r="P518" s="2"/>
      <c r="Q518" s="2"/>
    </row>
    <row r="519" spans="1:17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3"/>
      <c r="M519" s="3"/>
      <c r="N519" s="2"/>
      <c r="O519" s="2"/>
      <c r="P519" s="2"/>
      <c r="Q519" s="2"/>
    </row>
    <row r="520" spans="1:17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3"/>
      <c r="M520" s="3"/>
      <c r="N520" s="2"/>
      <c r="O520" s="2"/>
      <c r="P520" s="2"/>
      <c r="Q520" s="2"/>
    </row>
    <row r="521" spans="1:17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3"/>
      <c r="M521" s="3"/>
      <c r="N521" s="2"/>
      <c r="O521" s="2"/>
      <c r="P521" s="2"/>
      <c r="Q521" s="2"/>
    </row>
    <row r="522" spans="1:17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3"/>
      <c r="M522" s="3"/>
      <c r="N522" s="2"/>
      <c r="O522" s="2"/>
      <c r="P522" s="2"/>
      <c r="Q522" s="2"/>
    </row>
    <row r="523" spans="1:17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3"/>
      <c r="M523" s="3"/>
      <c r="N523" s="2"/>
      <c r="O523" s="2"/>
      <c r="P523" s="2"/>
      <c r="Q523" s="2"/>
    </row>
    <row r="524" spans="1:17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3"/>
      <c r="M524" s="3"/>
      <c r="N524" s="2"/>
      <c r="O524" s="2"/>
      <c r="P524" s="2"/>
      <c r="Q524" s="2"/>
    </row>
    <row r="525" spans="1:17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3"/>
      <c r="M525" s="3"/>
      <c r="N525" s="2"/>
      <c r="O525" s="2"/>
      <c r="P525" s="2"/>
      <c r="Q525" s="2"/>
    </row>
    <row r="526" spans="1:17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3"/>
      <c r="M526" s="3"/>
      <c r="N526" s="2"/>
      <c r="O526" s="2"/>
      <c r="P526" s="2"/>
      <c r="Q526" s="2"/>
    </row>
    <row r="527" spans="1:1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3"/>
      <c r="M527" s="3"/>
      <c r="N527" s="2"/>
      <c r="O527" s="2"/>
      <c r="P527" s="2"/>
      <c r="Q527" s="2"/>
    </row>
    <row r="528" spans="1:17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3"/>
      <c r="M528" s="3"/>
      <c r="N528" s="2"/>
      <c r="O528" s="2"/>
      <c r="P528" s="2"/>
      <c r="Q528" s="2"/>
    </row>
    <row r="529" spans="1:17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3"/>
      <c r="M529" s="3"/>
      <c r="N529" s="2"/>
      <c r="O529" s="2"/>
      <c r="P529" s="2"/>
      <c r="Q529" s="2"/>
    </row>
    <row r="530" spans="1:17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3"/>
      <c r="M530" s="3"/>
      <c r="N530" s="2"/>
      <c r="O530" s="2"/>
      <c r="P530" s="2"/>
      <c r="Q530" s="2"/>
    </row>
    <row r="531" spans="1:17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3"/>
      <c r="M531" s="3"/>
      <c r="N531" s="2"/>
      <c r="O531" s="2"/>
      <c r="P531" s="2"/>
      <c r="Q531" s="2"/>
    </row>
    <row r="532" spans="1:17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3"/>
      <c r="M532" s="3"/>
      <c r="N532" s="2"/>
      <c r="O532" s="2"/>
      <c r="P532" s="2"/>
      <c r="Q532" s="2"/>
    </row>
    <row r="533" spans="1:17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3"/>
      <c r="M533" s="3"/>
      <c r="N533" s="2"/>
      <c r="O533" s="2"/>
      <c r="P533" s="2"/>
      <c r="Q533" s="2"/>
    </row>
    <row r="534" spans="1:17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3"/>
      <c r="M534" s="3"/>
      <c r="N534" s="2"/>
      <c r="O534" s="2"/>
      <c r="P534" s="2"/>
      <c r="Q534" s="2"/>
    </row>
    <row r="535" spans="1:17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3"/>
      <c r="M535" s="3"/>
      <c r="N535" s="2"/>
      <c r="O535" s="2"/>
      <c r="P535" s="2"/>
      <c r="Q535" s="2"/>
    </row>
    <row r="536" spans="1:17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3"/>
      <c r="M536" s="3"/>
      <c r="N536" s="2"/>
      <c r="O536" s="2"/>
      <c r="P536" s="2"/>
      <c r="Q536" s="2"/>
    </row>
    <row r="537" spans="1:1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3"/>
      <c r="M537" s="3"/>
      <c r="N537" s="2"/>
      <c r="O537" s="2"/>
      <c r="P537" s="2"/>
      <c r="Q537" s="2"/>
    </row>
    <row r="538" spans="1:17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3"/>
      <c r="M538" s="3"/>
      <c r="N538" s="2"/>
      <c r="O538" s="2"/>
      <c r="P538" s="2"/>
      <c r="Q538" s="2"/>
    </row>
    <row r="539" spans="1:17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3"/>
      <c r="M539" s="3"/>
      <c r="N539" s="2"/>
      <c r="O539" s="2"/>
      <c r="P539" s="2"/>
      <c r="Q539" s="2"/>
    </row>
    <row r="540" spans="1:17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3"/>
      <c r="M540" s="3"/>
      <c r="N540" s="2"/>
      <c r="O540" s="2"/>
      <c r="P540" s="2"/>
      <c r="Q540" s="2"/>
    </row>
    <row r="541" spans="1:17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3"/>
      <c r="M541" s="3"/>
      <c r="N541" s="2"/>
      <c r="O541" s="2"/>
      <c r="P541" s="2"/>
      <c r="Q541" s="2"/>
    </row>
    <row r="542" spans="1:17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3"/>
      <c r="M542" s="3"/>
      <c r="N542" s="2"/>
      <c r="O542" s="2"/>
      <c r="P542" s="2"/>
      <c r="Q542" s="2"/>
    </row>
    <row r="543" spans="1:17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3"/>
      <c r="M543" s="3"/>
      <c r="N543" s="2"/>
      <c r="O543" s="2"/>
      <c r="P543" s="2"/>
      <c r="Q543" s="2"/>
    </row>
    <row r="544" spans="1:17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3"/>
      <c r="M544" s="3"/>
      <c r="N544" s="2"/>
      <c r="O544" s="2"/>
      <c r="P544" s="2"/>
      <c r="Q544" s="2"/>
    </row>
    <row r="545" spans="1:17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3"/>
      <c r="M545" s="3"/>
      <c r="N545" s="2"/>
      <c r="O545" s="2"/>
      <c r="P545" s="2"/>
      <c r="Q545" s="2"/>
    </row>
    <row r="546" spans="1:17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3"/>
      <c r="M546" s="3"/>
      <c r="N546" s="2"/>
      <c r="O546" s="2"/>
      <c r="P546" s="2"/>
      <c r="Q546" s="2"/>
    </row>
    <row r="547" spans="1:1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3"/>
      <c r="M547" s="3"/>
      <c r="N547" s="2"/>
      <c r="O547" s="2"/>
      <c r="P547" s="2"/>
      <c r="Q547" s="2"/>
    </row>
    <row r="548" spans="1:17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3"/>
      <c r="M548" s="3"/>
      <c r="N548" s="2"/>
      <c r="O548" s="2"/>
      <c r="P548" s="2"/>
      <c r="Q548" s="2"/>
    </row>
    <row r="549" spans="1:17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3"/>
      <c r="M549" s="3"/>
      <c r="N549" s="2"/>
      <c r="O549" s="2"/>
      <c r="P549" s="2"/>
      <c r="Q549" s="2"/>
    </row>
    <row r="550" spans="1:17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3"/>
      <c r="M550" s="3"/>
      <c r="N550" s="2"/>
      <c r="O550" s="2"/>
      <c r="P550" s="2"/>
      <c r="Q550" s="2"/>
    </row>
    <row r="551" spans="1:17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3"/>
      <c r="M551" s="3"/>
      <c r="N551" s="2"/>
      <c r="O551" s="2"/>
      <c r="P551" s="2"/>
      <c r="Q551" s="2"/>
    </row>
    <row r="552" spans="1:17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3"/>
      <c r="M552" s="3"/>
      <c r="N552" s="2"/>
      <c r="O552" s="2"/>
      <c r="P552" s="2"/>
      <c r="Q552" s="2"/>
    </row>
    <row r="553" spans="1:17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3"/>
      <c r="M553" s="3"/>
      <c r="N553" s="2"/>
      <c r="O553" s="2"/>
      <c r="P553" s="2"/>
      <c r="Q553" s="2"/>
    </row>
    <row r="554" spans="1:17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3"/>
      <c r="M554" s="3"/>
      <c r="N554" s="2"/>
      <c r="O554" s="2"/>
      <c r="P554" s="2"/>
      <c r="Q554" s="2"/>
    </row>
    <row r="555" spans="1:17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3"/>
      <c r="M555" s="3"/>
      <c r="N555" s="2"/>
      <c r="O555" s="2"/>
      <c r="P555" s="2"/>
      <c r="Q555" s="2"/>
    </row>
    <row r="556" spans="1:17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3"/>
      <c r="M556" s="3"/>
      <c r="N556" s="2"/>
      <c r="O556" s="2"/>
      <c r="P556" s="2"/>
      <c r="Q556" s="2"/>
    </row>
    <row r="557" spans="1:1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3"/>
      <c r="M557" s="3"/>
      <c r="N557" s="2"/>
      <c r="O557" s="2"/>
      <c r="P557" s="2"/>
      <c r="Q557" s="2"/>
    </row>
    <row r="558" spans="1:17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3"/>
      <c r="M558" s="3"/>
      <c r="N558" s="2"/>
      <c r="O558" s="2"/>
      <c r="P558" s="2"/>
      <c r="Q558" s="2"/>
    </row>
    <row r="559" spans="1:17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3"/>
      <c r="M559" s="3"/>
      <c r="N559" s="2"/>
      <c r="O559" s="2"/>
      <c r="P559" s="2"/>
      <c r="Q559" s="2"/>
    </row>
    <row r="560" spans="1:17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3"/>
      <c r="M560" s="3"/>
      <c r="N560" s="2"/>
      <c r="O560" s="2"/>
      <c r="P560" s="2"/>
      <c r="Q560" s="2"/>
    </row>
    <row r="561" spans="1:17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3"/>
      <c r="M561" s="3"/>
      <c r="N561" s="2"/>
      <c r="O561" s="2"/>
      <c r="P561" s="2"/>
      <c r="Q561" s="2"/>
    </row>
    <row r="562" spans="1:17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3"/>
      <c r="M562" s="3"/>
      <c r="N562" s="2"/>
      <c r="O562" s="2"/>
      <c r="P562" s="2"/>
      <c r="Q562" s="2"/>
    </row>
    <row r="563" spans="1:17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3"/>
      <c r="M563" s="3"/>
      <c r="N563" s="2"/>
      <c r="O563" s="2"/>
      <c r="P563" s="2"/>
      <c r="Q563" s="2"/>
    </row>
    <row r="564" spans="1:17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3"/>
      <c r="M564" s="3"/>
      <c r="N564" s="2"/>
      <c r="O564" s="2"/>
      <c r="P564" s="2"/>
      <c r="Q564" s="2"/>
    </row>
    <row r="565" spans="1:17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3"/>
      <c r="M565" s="3"/>
      <c r="N565" s="2"/>
      <c r="O565" s="2"/>
      <c r="P565" s="2"/>
      <c r="Q565" s="2"/>
    </row>
    <row r="566" spans="1:17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3"/>
      <c r="M566" s="3"/>
      <c r="N566" s="2"/>
      <c r="O566" s="2"/>
      <c r="P566" s="2"/>
      <c r="Q566" s="2"/>
    </row>
    <row r="567" spans="1:1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3"/>
      <c r="M567" s="3"/>
      <c r="N567" s="2"/>
      <c r="O567" s="2"/>
      <c r="P567" s="2"/>
      <c r="Q567" s="2"/>
    </row>
    <row r="568" spans="1:17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3"/>
      <c r="M568" s="3"/>
      <c r="N568" s="2"/>
      <c r="O568" s="2"/>
      <c r="P568" s="2"/>
      <c r="Q568" s="2"/>
    </row>
    <row r="569" spans="1:17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3"/>
      <c r="M569" s="3"/>
      <c r="N569" s="2"/>
      <c r="O569" s="2"/>
      <c r="P569" s="2"/>
      <c r="Q569" s="2"/>
    </row>
    <row r="570" spans="1:17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3"/>
      <c r="M570" s="3"/>
      <c r="N570" s="2"/>
      <c r="O570" s="2"/>
      <c r="P570" s="2"/>
      <c r="Q570" s="2"/>
    </row>
    <row r="571" spans="1:17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3"/>
      <c r="M571" s="3"/>
      <c r="N571" s="2"/>
      <c r="O571" s="2"/>
      <c r="P571" s="2"/>
      <c r="Q571" s="2"/>
    </row>
    <row r="572" spans="1:17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3"/>
      <c r="M572" s="3"/>
      <c r="N572" s="2"/>
      <c r="O572" s="2"/>
      <c r="P572" s="2"/>
      <c r="Q572" s="2"/>
    </row>
    <row r="573" spans="1:17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3"/>
      <c r="M573" s="3"/>
      <c r="N573" s="2"/>
      <c r="O573" s="2"/>
      <c r="P573" s="2"/>
      <c r="Q573" s="2"/>
    </row>
    <row r="574" spans="1:17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3"/>
      <c r="M574" s="3"/>
      <c r="N574" s="2"/>
      <c r="O574" s="2"/>
      <c r="P574" s="2"/>
      <c r="Q574" s="2"/>
    </row>
    <row r="575" spans="1:17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3"/>
      <c r="M575" s="3"/>
      <c r="N575" s="2"/>
      <c r="O575" s="2"/>
      <c r="P575" s="2"/>
      <c r="Q575" s="2"/>
    </row>
    <row r="576" spans="1:17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3"/>
      <c r="M576" s="3"/>
      <c r="N576" s="2"/>
      <c r="O576" s="2"/>
      <c r="P576" s="2"/>
      <c r="Q576" s="2"/>
    </row>
    <row r="577" spans="1:1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3"/>
      <c r="M577" s="3"/>
      <c r="N577" s="2"/>
      <c r="O577" s="2"/>
      <c r="P577" s="2"/>
      <c r="Q577" s="2"/>
    </row>
    <row r="578" spans="1:17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3"/>
      <c r="M578" s="3"/>
      <c r="N578" s="2"/>
      <c r="O578" s="2"/>
      <c r="P578" s="2"/>
      <c r="Q578" s="2"/>
    </row>
    <row r="579" spans="1:17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3"/>
      <c r="M579" s="3"/>
      <c r="N579" s="2"/>
      <c r="O579" s="2"/>
      <c r="P579" s="2"/>
      <c r="Q579" s="2"/>
    </row>
    <row r="580" spans="1:17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3"/>
      <c r="M580" s="3"/>
      <c r="N580" s="2"/>
      <c r="O580" s="2"/>
      <c r="P580" s="2"/>
      <c r="Q580" s="2"/>
    </row>
    <row r="581" spans="1:17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3"/>
      <c r="M581" s="3"/>
      <c r="N581" s="2"/>
      <c r="O581" s="2"/>
      <c r="P581" s="2"/>
      <c r="Q581" s="2"/>
    </row>
    <row r="582" spans="1:17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3"/>
      <c r="M582" s="3"/>
      <c r="N582" s="2"/>
      <c r="O582" s="2"/>
      <c r="P582" s="2"/>
      <c r="Q582" s="2"/>
    </row>
    <row r="583" spans="1:17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3"/>
      <c r="M583" s="3"/>
      <c r="N583" s="2"/>
      <c r="O583" s="2"/>
      <c r="P583" s="2"/>
      <c r="Q583" s="2"/>
    </row>
    <row r="584" spans="1:17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3"/>
      <c r="M584" s="3"/>
      <c r="N584" s="2"/>
      <c r="O584" s="2"/>
      <c r="P584" s="2"/>
      <c r="Q584" s="2"/>
    </row>
    <row r="585" spans="1:17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3"/>
      <c r="M585" s="3"/>
      <c r="N585" s="2"/>
      <c r="O585" s="2"/>
      <c r="P585" s="2"/>
      <c r="Q585" s="2"/>
    </row>
    <row r="586" spans="1:17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3"/>
      <c r="M586" s="3"/>
      <c r="N586" s="2"/>
      <c r="O586" s="2"/>
      <c r="P586" s="2"/>
      <c r="Q586" s="2"/>
    </row>
    <row r="587" spans="1:1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3"/>
      <c r="M587" s="3"/>
      <c r="N587" s="2"/>
      <c r="O587" s="2"/>
      <c r="P587" s="2"/>
      <c r="Q587" s="2"/>
    </row>
    <row r="588" spans="1:17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3"/>
      <c r="M588" s="3"/>
      <c r="N588" s="2"/>
      <c r="O588" s="2"/>
      <c r="P588" s="2"/>
      <c r="Q588" s="2"/>
    </row>
    <row r="589" spans="1:17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3"/>
      <c r="M589" s="3"/>
      <c r="N589" s="2"/>
      <c r="O589" s="2"/>
      <c r="P589" s="2"/>
      <c r="Q589" s="2"/>
    </row>
    <row r="590" spans="1:17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3"/>
      <c r="M590" s="3"/>
      <c r="N590" s="2"/>
      <c r="O590" s="2"/>
      <c r="P590" s="2"/>
      <c r="Q590" s="2"/>
    </row>
    <row r="591" spans="1:17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3"/>
      <c r="M591" s="3"/>
      <c r="N591" s="2"/>
      <c r="O591" s="2"/>
      <c r="P591" s="2"/>
      <c r="Q591" s="2"/>
    </row>
    <row r="592" spans="1:17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3"/>
      <c r="M592" s="3"/>
      <c r="N592" s="2"/>
      <c r="O592" s="2"/>
      <c r="P592" s="2"/>
      <c r="Q592" s="2"/>
    </row>
    <row r="593" spans="1:17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3"/>
      <c r="M593" s="3"/>
      <c r="N593" s="2"/>
      <c r="O593" s="2"/>
      <c r="P593" s="2"/>
      <c r="Q593" s="2"/>
    </row>
    <row r="594" spans="1:17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3"/>
      <c r="M594" s="3"/>
      <c r="N594" s="2"/>
      <c r="O594" s="2"/>
      <c r="P594" s="2"/>
      <c r="Q594" s="2"/>
    </row>
    <row r="595" spans="1:17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3"/>
      <c r="M595" s="3"/>
      <c r="N595" s="2"/>
      <c r="O595" s="2"/>
      <c r="P595" s="2"/>
      <c r="Q595" s="2"/>
    </row>
    <row r="596" spans="1:17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3"/>
      <c r="M596" s="3"/>
      <c r="N596" s="2"/>
      <c r="O596" s="2"/>
      <c r="P596" s="2"/>
      <c r="Q596" s="2"/>
    </row>
    <row r="597" spans="1:1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3"/>
      <c r="M597" s="3"/>
      <c r="N597" s="2"/>
      <c r="O597" s="2"/>
      <c r="P597" s="2"/>
      <c r="Q597" s="2"/>
    </row>
    <row r="598" spans="1:17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3"/>
      <c r="M598" s="3"/>
      <c r="N598" s="2"/>
      <c r="O598" s="2"/>
      <c r="P598" s="2"/>
      <c r="Q598" s="2"/>
    </row>
    <row r="599" spans="1:17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3"/>
      <c r="M599" s="3"/>
      <c r="N599" s="2"/>
      <c r="O599" s="2"/>
      <c r="P599" s="2"/>
      <c r="Q599" s="2"/>
    </row>
    <row r="600" spans="1:17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3"/>
      <c r="M600" s="3"/>
      <c r="N600" s="2"/>
      <c r="O600" s="2"/>
      <c r="P600" s="2"/>
      <c r="Q600" s="2"/>
    </row>
    <row r="601" spans="1:17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3"/>
      <c r="M601" s="3"/>
      <c r="N601" s="2"/>
      <c r="O601" s="2"/>
      <c r="P601" s="2"/>
      <c r="Q601" s="2"/>
    </row>
    <row r="602" spans="1:17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3"/>
      <c r="M602" s="3"/>
      <c r="N602" s="2"/>
      <c r="O602" s="2"/>
      <c r="P602" s="2"/>
      <c r="Q602" s="2"/>
    </row>
    <row r="603" spans="1:17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3"/>
      <c r="M603" s="3"/>
      <c r="N603" s="2"/>
      <c r="O603" s="2"/>
      <c r="P603" s="2"/>
      <c r="Q603" s="2"/>
    </row>
    <row r="604" spans="1:17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3"/>
      <c r="M604" s="3"/>
      <c r="N604" s="2"/>
      <c r="O604" s="2"/>
      <c r="P604" s="2"/>
      <c r="Q604" s="2"/>
    </row>
    <row r="605" spans="1:17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3"/>
      <c r="M605" s="3"/>
      <c r="N605" s="2"/>
      <c r="O605" s="2"/>
      <c r="P605" s="2"/>
      <c r="Q605" s="2"/>
    </row>
    <row r="606" spans="1:17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3"/>
      <c r="M606" s="3"/>
      <c r="N606" s="2"/>
      <c r="O606" s="2"/>
      <c r="P606" s="2"/>
      <c r="Q606" s="2"/>
    </row>
    <row r="607" spans="1:1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3"/>
      <c r="M607" s="3"/>
      <c r="N607" s="2"/>
      <c r="O607" s="2"/>
      <c r="P607" s="2"/>
      <c r="Q607" s="2"/>
    </row>
    <row r="608" spans="1:17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3"/>
      <c r="M608" s="3"/>
      <c r="N608" s="2"/>
      <c r="O608" s="2"/>
      <c r="P608" s="2"/>
      <c r="Q608" s="2"/>
    </row>
    <row r="609" spans="1:17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3"/>
      <c r="M609" s="3"/>
      <c r="N609" s="2"/>
      <c r="O609" s="2"/>
      <c r="P609" s="2"/>
      <c r="Q609" s="2"/>
    </row>
    <row r="610" spans="1:17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3"/>
      <c r="M610" s="3"/>
      <c r="N610" s="2"/>
      <c r="O610" s="2"/>
      <c r="P610" s="2"/>
      <c r="Q610" s="2"/>
    </row>
    <row r="611" spans="1:17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3"/>
      <c r="M611" s="3"/>
      <c r="N611" s="2"/>
      <c r="O611" s="2"/>
      <c r="P611" s="2"/>
      <c r="Q611" s="2"/>
    </row>
    <row r="612" spans="1:17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3"/>
      <c r="M612" s="3"/>
      <c r="N612" s="2"/>
      <c r="O612" s="2"/>
      <c r="P612" s="2"/>
      <c r="Q612" s="2"/>
    </row>
    <row r="613" spans="1:17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3"/>
      <c r="M613" s="3"/>
      <c r="N613" s="2"/>
      <c r="O613" s="2"/>
      <c r="P613" s="2"/>
      <c r="Q613" s="2"/>
    </row>
    <row r="614" spans="1:17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3"/>
      <c r="M614" s="3"/>
      <c r="N614" s="2"/>
      <c r="O614" s="2"/>
      <c r="P614" s="2"/>
      <c r="Q614" s="2"/>
    </row>
    <row r="615" spans="1:17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3"/>
      <c r="M615" s="3"/>
      <c r="N615" s="2"/>
      <c r="O615" s="2"/>
      <c r="P615" s="2"/>
      <c r="Q615" s="2"/>
    </row>
    <row r="616" spans="1:17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3"/>
      <c r="M616" s="3"/>
      <c r="N616" s="2"/>
      <c r="O616" s="2"/>
      <c r="P616" s="2"/>
      <c r="Q616" s="2"/>
    </row>
    <row r="617" spans="1: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3"/>
      <c r="M617" s="3"/>
      <c r="N617" s="2"/>
      <c r="O617" s="2"/>
      <c r="P617" s="2"/>
      <c r="Q617" s="2"/>
    </row>
    <row r="618" spans="1:17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3"/>
      <c r="M618" s="3"/>
      <c r="N618" s="2"/>
      <c r="O618" s="2"/>
      <c r="P618" s="2"/>
      <c r="Q618" s="2"/>
    </row>
    <row r="619" spans="1:17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3"/>
      <c r="M619" s="3"/>
      <c r="N619" s="2"/>
      <c r="O619" s="2"/>
      <c r="P619" s="2"/>
      <c r="Q619" s="2"/>
    </row>
    <row r="620" spans="1:17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3"/>
      <c r="M620" s="3"/>
      <c r="N620" s="2"/>
      <c r="O620" s="2"/>
      <c r="P620" s="2"/>
      <c r="Q620" s="2"/>
    </row>
    <row r="621" spans="1:17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3"/>
      <c r="M621" s="3"/>
      <c r="N621" s="2"/>
      <c r="O621" s="2"/>
      <c r="P621" s="2"/>
      <c r="Q621" s="2"/>
    </row>
    <row r="622" spans="1:17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3"/>
      <c r="M622" s="3"/>
      <c r="N622" s="2"/>
      <c r="O622" s="2"/>
      <c r="P622" s="2"/>
      <c r="Q622" s="2"/>
    </row>
    <row r="623" spans="1:17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3"/>
      <c r="M623" s="3"/>
      <c r="N623" s="2"/>
      <c r="O623" s="2"/>
      <c r="P623" s="2"/>
      <c r="Q623" s="2"/>
    </row>
    <row r="624" spans="1:17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3"/>
      <c r="M624" s="3"/>
      <c r="N624" s="2"/>
      <c r="O624" s="2"/>
      <c r="P624" s="2"/>
      <c r="Q624" s="2"/>
    </row>
    <row r="625" spans="1:17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3"/>
      <c r="M625" s="3"/>
      <c r="N625" s="2"/>
      <c r="O625" s="2"/>
      <c r="P625" s="2"/>
      <c r="Q625" s="2"/>
    </row>
    <row r="626" spans="1:17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3"/>
      <c r="M626" s="3"/>
      <c r="N626" s="2"/>
      <c r="O626" s="2"/>
      <c r="P626" s="2"/>
      <c r="Q626" s="2"/>
    </row>
    <row r="627" spans="1:1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3"/>
      <c r="M627" s="3"/>
      <c r="N627" s="2"/>
      <c r="O627" s="2"/>
      <c r="P627" s="2"/>
      <c r="Q627" s="2"/>
    </row>
    <row r="628" spans="1:17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3"/>
      <c r="M628" s="3"/>
      <c r="N628" s="2"/>
      <c r="O628" s="2"/>
      <c r="P628" s="2"/>
      <c r="Q628" s="2"/>
    </row>
    <row r="629" spans="1:17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3"/>
      <c r="M629" s="3"/>
      <c r="N629" s="2"/>
      <c r="O629" s="2"/>
      <c r="P629" s="2"/>
      <c r="Q629" s="2"/>
    </row>
    <row r="630" spans="1:17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3"/>
      <c r="M630" s="3"/>
      <c r="N630" s="2"/>
      <c r="O630" s="2"/>
      <c r="P630" s="2"/>
      <c r="Q630" s="2"/>
    </row>
    <row r="631" spans="1:17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3"/>
      <c r="M631" s="3"/>
      <c r="N631" s="2"/>
      <c r="O631" s="2"/>
      <c r="P631" s="2"/>
      <c r="Q631" s="2"/>
    </row>
    <row r="632" spans="1:17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3"/>
      <c r="M632" s="3"/>
      <c r="N632" s="2"/>
      <c r="O632" s="2"/>
      <c r="P632" s="2"/>
      <c r="Q632" s="2"/>
    </row>
    <row r="633" spans="1:17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3"/>
      <c r="M633" s="3"/>
      <c r="N633" s="2"/>
      <c r="O633" s="2"/>
      <c r="P633" s="2"/>
      <c r="Q633" s="2"/>
    </row>
    <row r="634" spans="1:17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3"/>
      <c r="M634" s="3"/>
      <c r="N634" s="2"/>
      <c r="O634" s="2"/>
      <c r="P634" s="2"/>
      <c r="Q634" s="2"/>
    </row>
    <row r="635" spans="1:17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3"/>
      <c r="M635" s="3"/>
      <c r="N635" s="2"/>
      <c r="O635" s="2"/>
      <c r="P635" s="2"/>
      <c r="Q635" s="2"/>
    </row>
    <row r="636" spans="1:17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3"/>
      <c r="M636" s="3"/>
      <c r="N636" s="2"/>
      <c r="O636" s="2"/>
      <c r="P636" s="2"/>
      <c r="Q636" s="2"/>
    </row>
    <row r="637" spans="1:1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3"/>
      <c r="M637" s="3"/>
      <c r="N637" s="2"/>
      <c r="O637" s="2"/>
      <c r="P637" s="2"/>
      <c r="Q637" s="2"/>
    </row>
    <row r="638" spans="1:17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3"/>
      <c r="M638" s="3"/>
      <c r="N638" s="2"/>
      <c r="O638" s="2"/>
      <c r="P638" s="2"/>
      <c r="Q638" s="2"/>
    </row>
    <row r="639" spans="1:17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3"/>
      <c r="M639" s="3"/>
      <c r="N639" s="2"/>
      <c r="O639" s="2"/>
      <c r="P639" s="2"/>
      <c r="Q639" s="2"/>
    </row>
    <row r="640" spans="1:17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3"/>
      <c r="M640" s="3"/>
      <c r="N640" s="2"/>
      <c r="O640" s="2"/>
      <c r="P640" s="2"/>
      <c r="Q640" s="2"/>
    </row>
    <row r="641" spans="1:17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3"/>
      <c r="M641" s="3"/>
      <c r="N641" s="2"/>
      <c r="O641" s="2"/>
      <c r="P641" s="2"/>
      <c r="Q641" s="2"/>
    </row>
    <row r="642" spans="1:17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3"/>
      <c r="M642" s="3"/>
      <c r="N642" s="2"/>
      <c r="O642" s="2"/>
      <c r="P642" s="2"/>
      <c r="Q642" s="2"/>
    </row>
    <row r="643" spans="1:17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3"/>
      <c r="M643" s="3"/>
      <c r="N643" s="2"/>
      <c r="O643" s="2"/>
      <c r="P643" s="2"/>
      <c r="Q643" s="2"/>
    </row>
    <row r="644" spans="1:17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3"/>
      <c r="M644" s="3"/>
      <c r="N644" s="2"/>
      <c r="O644" s="2"/>
      <c r="P644" s="2"/>
      <c r="Q644" s="2"/>
    </row>
    <row r="645" spans="1:17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3"/>
      <c r="M645" s="3"/>
      <c r="N645" s="2"/>
      <c r="O645" s="2"/>
      <c r="P645" s="2"/>
      <c r="Q645" s="2"/>
    </row>
    <row r="646" spans="1:17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3"/>
      <c r="M646" s="3"/>
      <c r="N646" s="2"/>
      <c r="O646" s="2"/>
      <c r="P646" s="2"/>
      <c r="Q646" s="2"/>
    </row>
    <row r="647" spans="1:1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3"/>
      <c r="M647" s="3"/>
      <c r="N647" s="2"/>
      <c r="O647" s="2"/>
      <c r="P647" s="2"/>
      <c r="Q647" s="2"/>
    </row>
    <row r="648" spans="1:17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3"/>
      <c r="M648" s="3"/>
      <c r="N648" s="2"/>
      <c r="O648" s="2"/>
      <c r="P648" s="2"/>
      <c r="Q648" s="2"/>
    </row>
    <row r="649" spans="1:17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3"/>
      <c r="M649" s="3"/>
      <c r="N649" s="2"/>
      <c r="O649" s="2"/>
      <c r="P649" s="2"/>
      <c r="Q649" s="2"/>
    </row>
    <row r="650" spans="1:17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3"/>
      <c r="M650" s="3"/>
      <c r="N650" s="2"/>
      <c r="O650" s="2"/>
      <c r="P650" s="2"/>
      <c r="Q650" s="2"/>
    </row>
    <row r="651" spans="1:17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3"/>
      <c r="M651" s="3"/>
      <c r="N651" s="2"/>
      <c r="O651" s="2"/>
      <c r="P651" s="2"/>
      <c r="Q651" s="2"/>
    </row>
    <row r="652" spans="1:17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3"/>
      <c r="M652" s="3"/>
      <c r="N652" s="2"/>
      <c r="O652" s="2"/>
      <c r="P652" s="2"/>
      <c r="Q652" s="2"/>
    </row>
    <row r="653" spans="1:17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3"/>
      <c r="M653" s="3"/>
      <c r="N653" s="2"/>
      <c r="O653" s="2"/>
      <c r="P653" s="2"/>
      <c r="Q653" s="2"/>
    </row>
    <row r="654" spans="1:17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3"/>
      <c r="M654" s="3"/>
      <c r="N654" s="2"/>
      <c r="O654" s="2"/>
      <c r="P654" s="2"/>
      <c r="Q654" s="2"/>
    </row>
    <row r="655" spans="1:17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3"/>
      <c r="M655" s="3"/>
      <c r="N655" s="2"/>
      <c r="O655" s="2"/>
      <c r="P655" s="2"/>
      <c r="Q655" s="2"/>
    </row>
    <row r="656" spans="1:17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3"/>
      <c r="M656" s="3"/>
      <c r="N656" s="2"/>
      <c r="O656" s="2"/>
      <c r="P656" s="2"/>
      <c r="Q656" s="2"/>
    </row>
    <row r="657" spans="1:1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3"/>
      <c r="M657" s="3"/>
      <c r="N657" s="2"/>
      <c r="O657" s="2"/>
      <c r="P657" s="2"/>
      <c r="Q657" s="2"/>
    </row>
    <row r="658" spans="1:17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3"/>
      <c r="M658" s="3"/>
      <c r="N658" s="2"/>
      <c r="O658" s="2"/>
      <c r="P658" s="2"/>
      <c r="Q658" s="2"/>
    </row>
    <row r="659" spans="1:17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3"/>
      <c r="M659" s="3"/>
      <c r="N659" s="2"/>
      <c r="O659" s="2"/>
      <c r="P659" s="2"/>
      <c r="Q659" s="2"/>
    </row>
    <row r="660" spans="1:17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3"/>
      <c r="M660" s="3"/>
      <c r="N660" s="2"/>
      <c r="O660" s="2"/>
      <c r="P660" s="2"/>
      <c r="Q660" s="2"/>
    </row>
    <row r="661" spans="1:17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3"/>
      <c r="M661" s="3"/>
      <c r="N661" s="2"/>
      <c r="O661" s="2"/>
      <c r="P661" s="2"/>
      <c r="Q661" s="2"/>
    </row>
    <row r="662" spans="1:17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3"/>
      <c r="M662" s="3"/>
      <c r="N662" s="2"/>
      <c r="O662" s="2"/>
      <c r="P662" s="2"/>
      <c r="Q662" s="2"/>
    </row>
    <row r="663" spans="1:17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3"/>
      <c r="M663" s="3"/>
      <c r="N663" s="2"/>
      <c r="O663" s="2"/>
      <c r="P663" s="2"/>
      <c r="Q663" s="2"/>
    </row>
    <row r="664" spans="1:17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3"/>
      <c r="M664" s="3"/>
      <c r="N664" s="2"/>
      <c r="O664" s="2"/>
      <c r="P664" s="2"/>
      <c r="Q664" s="2"/>
    </row>
    <row r="665" spans="1:17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3"/>
      <c r="M665" s="3"/>
      <c r="N665" s="2"/>
      <c r="O665" s="2"/>
      <c r="P665" s="2"/>
      <c r="Q665" s="2"/>
    </row>
    <row r="666" spans="1:17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3"/>
      <c r="M666" s="3"/>
      <c r="N666" s="2"/>
      <c r="O666" s="2"/>
      <c r="P666" s="2"/>
      <c r="Q666" s="2"/>
    </row>
    <row r="667" spans="1:1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3"/>
      <c r="M667" s="3"/>
      <c r="N667" s="2"/>
      <c r="O667" s="2"/>
      <c r="P667" s="2"/>
      <c r="Q667" s="2"/>
    </row>
    <row r="668" spans="1:17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3"/>
      <c r="M668" s="3"/>
      <c r="N668" s="2"/>
      <c r="O668" s="2"/>
      <c r="P668" s="2"/>
      <c r="Q668" s="2"/>
    </row>
    <row r="669" spans="1:17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3"/>
      <c r="M669" s="3"/>
      <c r="N669" s="2"/>
      <c r="O669" s="2"/>
      <c r="P669" s="2"/>
      <c r="Q669" s="2"/>
    </row>
    <row r="670" spans="1:17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3"/>
      <c r="M670" s="3"/>
      <c r="N670" s="2"/>
      <c r="O670" s="2"/>
      <c r="P670" s="2"/>
      <c r="Q670" s="2"/>
    </row>
    <row r="671" spans="1:17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3"/>
      <c r="M671" s="3"/>
      <c r="N671" s="2"/>
      <c r="O671" s="2"/>
      <c r="P671" s="2"/>
      <c r="Q671" s="2"/>
    </row>
    <row r="672" spans="1:17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3"/>
      <c r="M672" s="3"/>
      <c r="N672" s="2"/>
      <c r="O672" s="2"/>
      <c r="P672" s="2"/>
      <c r="Q672" s="2"/>
    </row>
    <row r="673" spans="1:17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3"/>
      <c r="M673" s="3"/>
      <c r="N673" s="2"/>
      <c r="O673" s="2"/>
      <c r="P673" s="2"/>
      <c r="Q673" s="2"/>
    </row>
    <row r="674" spans="1:17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3"/>
      <c r="M674" s="3"/>
      <c r="N674" s="2"/>
      <c r="O674" s="2"/>
      <c r="P674" s="2"/>
      <c r="Q674" s="2"/>
    </row>
    <row r="675" spans="1:17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3"/>
      <c r="M675" s="3"/>
      <c r="N675" s="2"/>
      <c r="O675" s="2"/>
      <c r="P675" s="2"/>
      <c r="Q675" s="2"/>
    </row>
    <row r="676" spans="1:17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3"/>
      <c r="M676" s="3"/>
      <c r="N676" s="2"/>
      <c r="O676" s="2"/>
      <c r="P676" s="2"/>
      <c r="Q676" s="2"/>
    </row>
    <row r="677" spans="1:1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3"/>
      <c r="M677" s="3"/>
      <c r="N677" s="2"/>
      <c r="O677" s="2"/>
      <c r="P677" s="2"/>
      <c r="Q677" s="2"/>
    </row>
    <row r="678" spans="1:17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3"/>
      <c r="M678" s="3"/>
      <c r="N678" s="2"/>
      <c r="O678" s="2"/>
      <c r="P678" s="2"/>
      <c r="Q678" s="2"/>
    </row>
    <row r="679" spans="1:17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3"/>
      <c r="M679" s="3"/>
      <c r="N679" s="2"/>
      <c r="O679" s="2"/>
      <c r="P679" s="2"/>
      <c r="Q679" s="2"/>
    </row>
    <row r="680" spans="1:17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3"/>
      <c r="M680" s="3"/>
      <c r="N680" s="2"/>
      <c r="O680" s="2"/>
      <c r="P680" s="2"/>
      <c r="Q680" s="2"/>
    </row>
    <row r="681" spans="1:17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3"/>
      <c r="M681" s="3"/>
      <c r="N681" s="2"/>
      <c r="O681" s="2"/>
      <c r="P681" s="2"/>
      <c r="Q681" s="2"/>
    </row>
    <row r="682" spans="1:17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3"/>
      <c r="M682" s="3"/>
      <c r="N682" s="2"/>
      <c r="O682" s="2"/>
      <c r="P682" s="2"/>
      <c r="Q682" s="2"/>
    </row>
    <row r="683" spans="1:17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3"/>
      <c r="M683" s="3"/>
      <c r="N683" s="2"/>
      <c r="O683" s="2"/>
      <c r="P683" s="2"/>
      <c r="Q683" s="2"/>
    </row>
    <row r="684" spans="1:17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3"/>
      <c r="M684" s="3"/>
      <c r="N684" s="2"/>
      <c r="O684" s="2"/>
      <c r="P684" s="2"/>
      <c r="Q684" s="2"/>
    </row>
    <row r="685" spans="1:17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3"/>
      <c r="M685" s="3"/>
      <c r="N685" s="2"/>
      <c r="O685" s="2"/>
      <c r="P685" s="2"/>
      <c r="Q685" s="2"/>
    </row>
    <row r="686" spans="1:17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3"/>
      <c r="M686" s="3"/>
      <c r="N686" s="2"/>
      <c r="O686" s="2"/>
      <c r="P686" s="2"/>
      <c r="Q686" s="2"/>
    </row>
    <row r="687" spans="1:1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3"/>
      <c r="M687" s="3"/>
      <c r="N687" s="2"/>
      <c r="O687" s="2"/>
      <c r="P687" s="2"/>
      <c r="Q687" s="2"/>
    </row>
    <row r="688" spans="1:17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3"/>
      <c r="M688" s="3"/>
      <c r="N688" s="2"/>
      <c r="O688" s="2"/>
      <c r="P688" s="2"/>
      <c r="Q688" s="2"/>
    </row>
    <row r="689" spans="1:17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3"/>
      <c r="M689" s="3"/>
      <c r="N689" s="2"/>
      <c r="O689" s="2"/>
      <c r="P689" s="2"/>
      <c r="Q689" s="2"/>
    </row>
    <row r="690" spans="1:17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3"/>
      <c r="M690" s="3"/>
      <c r="N690" s="2"/>
      <c r="O690" s="2"/>
      <c r="P690" s="2"/>
      <c r="Q690" s="2"/>
    </row>
    <row r="691" spans="1:17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3"/>
      <c r="M691" s="3"/>
      <c r="N691" s="2"/>
      <c r="O691" s="2"/>
      <c r="P691" s="2"/>
      <c r="Q691" s="2"/>
    </row>
    <row r="692" spans="1:17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3"/>
      <c r="M692" s="3"/>
      <c r="N692" s="2"/>
      <c r="O692" s="2"/>
      <c r="P692" s="2"/>
      <c r="Q692" s="2"/>
    </row>
    <row r="693" spans="1:17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3"/>
      <c r="M693" s="3"/>
      <c r="N693" s="2"/>
      <c r="O693" s="2"/>
      <c r="P693" s="2"/>
      <c r="Q693" s="2"/>
    </row>
    <row r="694" spans="1:17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3"/>
      <c r="M694" s="3"/>
      <c r="N694" s="2"/>
      <c r="O694" s="2"/>
      <c r="P694" s="2"/>
      <c r="Q694" s="2"/>
    </row>
    <row r="695" spans="1:17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3"/>
      <c r="M695" s="3"/>
      <c r="N695" s="2"/>
      <c r="O695" s="2"/>
      <c r="P695" s="2"/>
      <c r="Q695" s="2"/>
    </row>
    <row r="696" spans="1:17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3"/>
      <c r="M696" s="3"/>
      <c r="N696" s="2"/>
      <c r="O696" s="2"/>
      <c r="P696" s="2"/>
      <c r="Q696" s="2"/>
    </row>
    <row r="697" spans="1:1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3"/>
      <c r="M697" s="3"/>
      <c r="N697" s="2"/>
      <c r="O697" s="2"/>
      <c r="P697" s="2"/>
      <c r="Q697" s="2"/>
    </row>
    <row r="698" spans="1:17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3"/>
      <c r="M698" s="3"/>
      <c r="N698" s="2"/>
      <c r="O698" s="2"/>
      <c r="P698" s="2"/>
      <c r="Q698" s="2"/>
    </row>
    <row r="699" spans="1:17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3"/>
      <c r="M699" s="3"/>
      <c r="N699" s="2"/>
      <c r="O699" s="2"/>
      <c r="P699" s="2"/>
      <c r="Q699" s="2"/>
    </row>
    <row r="700" spans="1:17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3"/>
      <c r="M700" s="3"/>
      <c r="N700" s="2"/>
      <c r="O700" s="2"/>
      <c r="P700" s="2"/>
      <c r="Q700" s="2"/>
    </row>
    <row r="701" spans="1:17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3"/>
      <c r="M701" s="3"/>
      <c r="N701" s="2"/>
      <c r="O701" s="2"/>
      <c r="P701" s="2"/>
      <c r="Q701" s="2"/>
    </row>
    <row r="702" spans="1:17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3"/>
      <c r="M702" s="3"/>
      <c r="N702" s="2"/>
      <c r="O702" s="2"/>
      <c r="P702" s="2"/>
      <c r="Q702" s="2"/>
    </row>
    <row r="703" spans="1:17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3"/>
      <c r="M703" s="3"/>
      <c r="N703" s="2"/>
      <c r="O703" s="2"/>
      <c r="P703" s="2"/>
      <c r="Q703" s="2"/>
    </row>
    <row r="704" spans="1:17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3"/>
      <c r="M704" s="3"/>
      <c r="N704" s="2"/>
      <c r="O704" s="2"/>
      <c r="P704" s="2"/>
      <c r="Q704" s="2"/>
    </row>
    <row r="705" spans="1:17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3"/>
      <c r="M705" s="3"/>
      <c r="N705" s="2"/>
      <c r="O705" s="2"/>
      <c r="P705" s="2"/>
      <c r="Q705" s="2"/>
    </row>
    <row r="706" spans="1:17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3"/>
      <c r="M706" s="3"/>
      <c r="N706" s="2"/>
      <c r="O706" s="2"/>
      <c r="P706" s="2"/>
      <c r="Q706" s="2"/>
    </row>
    <row r="707" spans="1:1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3"/>
      <c r="M707" s="3"/>
      <c r="N707" s="2"/>
      <c r="O707" s="2"/>
      <c r="P707" s="2"/>
      <c r="Q707" s="2"/>
    </row>
    <row r="708" spans="1:17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3"/>
      <c r="M708" s="3"/>
      <c r="N708" s="2"/>
      <c r="O708" s="2"/>
      <c r="P708" s="2"/>
      <c r="Q708" s="2"/>
    </row>
    <row r="709" spans="1:17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3"/>
      <c r="M709" s="3"/>
      <c r="N709" s="2"/>
      <c r="O709" s="2"/>
      <c r="P709" s="2"/>
      <c r="Q709" s="2"/>
    </row>
    <row r="710" spans="1:17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3"/>
      <c r="M710" s="3"/>
      <c r="N710" s="2"/>
      <c r="O710" s="2"/>
      <c r="P710" s="2"/>
      <c r="Q710" s="2"/>
    </row>
    <row r="711" spans="1:17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3"/>
      <c r="M711" s="3"/>
      <c r="N711" s="2"/>
      <c r="O711" s="2"/>
      <c r="P711" s="2"/>
      <c r="Q711" s="2"/>
    </row>
    <row r="712" spans="1:17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3"/>
      <c r="M712" s="3"/>
      <c r="N712" s="2"/>
      <c r="O712" s="2"/>
      <c r="P712" s="2"/>
      <c r="Q712" s="2"/>
    </row>
    <row r="713" spans="1:17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3"/>
      <c r="M713" s="3"/>
      <c r="N713" s="2"/>
      <c r="O713" s="2"/>
      <c r="P713" s="2"/>
      <c r="Q713" s="2"/>
    </row>
    <row r="714" spans="1:17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3"/>
      <c r="M714" s="3"/>
      <c r="N714" s="2"/>
      <c r="O714" s="2"/>
      <c r="P714" s="2"/>
      <c r="Q714" s="2"/>
    </row>
    <row r="715" spans="1:17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3"/>
      <c r="M715" s="3"/>
      <c r="N715" s="2"/>
      <c r="O715" s="2"/>
      <c r="P715" s="2"/>
      <c r="Q715" s="2"/>
    </row>
    <row r="716" spans="1:17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3"/>
      <c r="M716" s="3"/>
      <c r="N716" s="2"/>
      <c r="O716" s="2"/>
      <c r="P716" s="2"/>
      <c r="Q716" s="2"/>
    </row>
    <row r="717" spans="1: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3"/>
      <c r="M717" s="3"/>
      <c r="N717" s="2"/>
      <c r="O717" s="2"/>
      <c r="P717" s="2"/>
      <c r="Q717" s="2"/>
    </row>
    <row r="718" spans="1:17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3"/>
      <c r="M718" s="3"/>
      <c r="N718" s="2"/>
      <c r="O718" s="2"/>
      <c r="P718" s="2"/>
      <c r="Q718" s="2"/>
    </row>
    <row r="719" spans="1:17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3"/>
      <c r="M719" s="3"/>
      <c r="N719" s="2"/>
      <c r="O719" s="2"/>
      <c r="P719" s="2"/>
      <c r="Q719" s="2"/>
    </row>
    <row r="720" spans="1:17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3"/>
      <c r="M720" s="3"/>
      <c r="N720" s="2"/>
      <c r="O720" s="2"/>
      <c r="P720" s="2"/>
      <c r="Q720" s="2"/>
    </row>
    <row r="721" spans="1:17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3"/>
      <c r="M721" s="3"/>
      <c r="N721" s="2"/>
      <c r="O721" s="2"/>
      <c r="P721" s="2"/>
      <c r="Q721" s="2"/>
    </row>
    <row r="722" spans="1:17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3"/>
      <c r="M722" s="3"/>
      <c r="N722" s="2"/>
      <c r="O722" s="2"/>
      <c r="P722" s="2"/>
      <c r="Q722" s="2"/>
    </row>
    <row r="723" spans="1:17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3"/>
      <c r="M723" s="3"/>
      <c r="N723" s="2"/>
      <c r="O723" s="2"/>
      <c r="P723" s="2"/>
      <c r="Q723" s="2"/>
    </row>
    <row r="724" spans="1:17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3"/>
      <c r="M724" s="3"/>
      <c r="N724" s="2"/>
      <c r="O724" s="2"/>
      <c r="P724" s="2"/>
      <c r="Q724" s="2"/>
    </row>
    <row r="725" spans="1:17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3"/>
      <c r="M725" s="3"/>
      <c r="N725" s="2"/>
      <c r="O725" s="2"/>
      <c r="P725" s="2"/>
      <c r="Q725" s="2"/>
    </row>
    <row r="726" spans="1:17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3"/>
      <c r="M726" s="3"/>
      <c r="N726" s="2"/>
      <c r="O726" s="2"/>
      <c r="P726" s="2"/>
      <c r="Q726" s="2"/>
    </row>
    <row r="727" spans="1:1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3"/>
      <c r="M727" s="3"/>
      <c r="N727" s="2"/>
      <c r="O727" s="2"/>
      <c r="P727" s="2"/>
      <c r="Q727" s="2"/>
    </row>
    <row r="728" spans="1:17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3"/>
      <c r="M728" s="3"/>
      <c r="N728" s="2"/>
      <c r="O728" s="2"/>
      <c r="P728" s="2"/>
      <c r="Q728" s="2"/>
    </row>
    <row r="729" spans="1:17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3"/>
      <c r="M729" s="3"/>
      <c r="N729" s="2"/>
      <c r="O729" s="2"/>
      <c r="P729" s="2"/>
      <c r="Q729" s="2"/>
    </row>
    <row r="730" spans="1:17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3"/>
      <c r="M730" s="3"/>
      <c r="N730" s="2"/>
      <c r="O730" s="2"/>
      <c r="P730" s="2"/>
      <c r="Q730" s="2"/>
    </row>
    <row r="731" spans="1:17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3"/>
      <c r="M731" s="3"/>
      <c r="N731" s="2"/>
      <c r="O731" s="2"/>
      <c r="P731" s="2"/>
      <c r="Q731" s="2"/>
    </row>
    <row r="732" spans="1:17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3"/>
      <c r="M732" s="3"/>
      <c r="N732" s="2"/>
      <c r="O732" s="2"/>
      <c r="P732" s="2"/>
      <c r="Q732" s="2"/>
    </row>
    <row r="733" spans="1:17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3"/>
      <c r="M733" s="3"/>
      <c r="N733" s="2"/>
      <c r="O733" s="2"/>
      <c r="P733" s="2"/>
      <c r="Q733" s="2"/>
    </row>
    <row r="734" spans="1:17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3"/>
      <c r="M734" s="3"/>
      <c r="N734" s="2"/>
      <c r="O734" s="2"/>
      <c r="P734" s="2"/>
      <c r="Q734" s="2"/>
    </row>
    <row r="735" spans="1:17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3"/>
      <c r="M735" s="3"/>
      <c r="N735" s="2"/>
      <c r="O735" s="2"/>
      <c r="P735" s="2"/>
      <c r="Q735" s="2"/>
    </row>
    <row r="736" spans="1:17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3"/>
      <c r="M736" s="3"/>
      <c r="N736" s="2"/>
      <c r="O736" s="2"/>
      <c r="P736" s="2"/>
      <c r="Q736" s="2"/>
    </row>
    <row r="737" spans="1:1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3"/>
      <c r="M737" s="3"/>
      <c r="N737" s="2"/>
      <c r="O737" s="2"/>
      <c r="P737" s="2"/>
      <c r="Q737" s="2"/>
    </row>
    <row r="738" spans="1:17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3"/>
      <c r="M738" s="3"/>
      <c r="N738" s="2"/>
      <c r="O738" s="2"/>
      <c r="P738" s="2"/>
      <c r="Q738" s="2"/>
    </row>
    <row r="739" spans="1:17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3"/>
      <c r="M739" s="3"/>
      <c r="N739" s="2"/>
      <c r="O739" s="2"/>
      <c r="P739" s="2"/>
      <c r="Q739" s="2"/>
    </row>
    <row r="740" spans="1:17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"/>
      <c r="M740" s="3"/>
      <c r="N740" s="2"/>
      <c r="O740" s="2"/>
      <c r="P740" s="2"/>
      <c r="Q740" s="2"/>
    </row>
    <row r="741" spans="1:17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3"/>
      <c r="M741" s="3"/>
      <c r="N741" s="2"/>
      <c r="O741" s="2"/>
      <c r="P741" s="2"/>
      <c r="Q741" s="2"/>
    </row>
    <row r="742" spans="1:17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3"/>
      <c r="M742" s="3"/>
      <c r="N742" s="2"/>
      <c r="O742" s="2"/>
      <c r="P742" s="2"/>
      <c r="Q742" s="2"/>
    </row>
    <row r="743" spans="1:17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3"/>
      <c r="M743" s="3"/>
      <c r="N743" s="2"/>
      <c r="O743" s="2"/>
      <c r="P743" s="2"/>
      <c r="Q743" s="2"/>
    </row>
    <row r="744" spans="1:17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3"/>
      <c r="M744" s="3"/>
      <c r="N744" s="2"/>
      <c r="O744" s="2"/>
      <c r="P744" s="2"/>
      <c r="Q744" s="2"/>
    </row>
    <row r="745" spans="1:17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3"/>
      <c r="M745" s="3"/>
      <c r="N745" s="2"/>
      <c r="O745" s="2"/>
      <c r="P745" s="2"/>
      <c r="Q745" s="2"/>
    </row>
    <row r="746" spans="1:17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3"/>
      <c r="M746" s="3"/>
      <c r="N746" s="2"/>
      <c r="O746" s="2"/>
      <c r="P746" s="2"/>
      <c r="Q746" s="2"/>
    </row>
    <row r="747" spans="1:1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3"/>
      <c r="M747" s="3"/>
      <c r="N747" s="2"/>
      <c r="O747" s="2"/>
      <c r="P747" s="2"/>
      <c r="Q747" s="2"/>
    </row>
    <row r="748" spans="1:17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3"/>
      <c r="M748" s="3"/>
      <c r="N748" s="2"/>
      <c r="O748" s="2"/>
      <c r="P748" s="2"/>
      <c r="Q748" s="2"/>
    </row>
    <row r="749" spans="1:17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3"/>
      <c r="M749" s="3"/>
      <c r="N749" s="2"/>
      <c r="O749" s="2"/>
      <c r="P749" s="2"/>
      <c r="Q749" s="2"/>
    </row>
    <row r="750" spans="1:17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3"/>
      <c r="M750" s="3"/>
      <c r="N750" s="2"/>
      <c r="O750" s="2"/>
      <c r="P750" s="2"/>
      <c r="Q750" s="2"/>
    </row>
    <row r="751" spans="1:17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3"/>
      <c r="M751" s="3"/>
      <c r="N751" s="2"/>
      <c r="O751" s="2"/>
      <c r="P751" s="2"/>
      <c r="Q751" s="2"/>
    </row>
    <row r="752" spans="1:17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3"/>
      <c r="M752" s="3"/>
      <c r="N752" s="2"/>
      <c r="O752" s="2"/>
      <c r="P752" s="2"/>
      <c r="Q752" s="2"/>
    </row>
    <row r="753" spans="1:17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3"/>
      <c r="M753" s="3"/>
      <c r="N753" s="2"/>
      <c r="O753" s="2"/>
      <c r="P753" s="2"/>
      <c r="Q753" s="2"/>
    </row>
    <row r="754" spans="1:17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3"/>
      <c r="M754" s="3"/>
      <c r="N754" s="2"/>
      <c r="O754" s="2"/>
      <c r="P754" s="2"/>
      <c r="Q754" s="2"/>
    </row>
    <row r="755" spans="1:17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3"/>
      <c r="M755" s="3"/>
      <c r="N755" s="2"/>
      <c r="O755" s="2"/>
      <c r="P755" s="2"/>
      <c r="Q755" s="2"/>
    </row>
    <row r="756" spans="1:17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3"/>
      <c r="M756" s="3"/>
      <c r="N756" s="2"/>
      <c r="O756" s="2"/>
      <c r="P756" s="2"/>
      <c r="Q756" s="2"/>
    </row>
    <row r="757" spans="1:1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3"/>
      <c r="M757" s="3"/>
      <c r="N757" s="2"/>
      <c r="O757" s="2"/>
      <c r="P757" s="2"/>
      <c r="Q757" s="2"/>
    </row>
    <row r="758" spans="1:17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3"/>
      <c r="M758" s="3"/>
      <c r="N758" s="2"/>
      <c r="O758" s="2"/>
      <c r="P758" s="2"/>
      <c r="Q758" s="2"/>
    </row>
    <row r="759" spans="1:17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3"/>
      <c r="M759" s="3"/>
      <c r="N759" s="2"/>
      <c r="O759" s="2"/>
      <c r="P759" s="2"/>
      <c r="Q759" s="2"/>
    </row>
    <row r="760" spans="1:17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3"/>
      <c r="M760" s="3"/>
      <c r="N760" s="2"/>
      <c r="O760" s="2"/>
      <c r="P760" s="2"/>
      <c r="Q760" s="2"/>
    </row>
    <row r="761" spans="1:17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3"/>
      <c r="M761" s="3"/>
      <c r="N761" s="2"/>
      <c r="O761" s="2"/>
      <c r="P761" s="2"/>
      <c r="Q761" s="2"/>
    </row>
    <row r="762" spans="1:17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3"/>
      <c r="M762" s="3"/>
      <c r="N762" s="2"/>
      <c r="O762" s="2"/>
      <c r="P762" s="2"/>
      <c r="Q762" s="2"/>
    </row>
    <row r="763" spans="1:17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3"/>
      <c r="M763" s="3"/>
      <c r="N763" s="2"/>
      <c r="O763" s="2"/>
      <c r="P763" s="2"/>
      <c r="Q763" s="2"/>
    </row>
    <row r="764" spans="1:17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3"/>
      <c r="M764" s="3"/>
      <c r="N764" s="2"/>
      <c r="O764" s="2"/>
      <c r="P764" s="2"/>
      <c r="Q764" s="2"/>
    </row>
    <row r="765" spans="1:17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3"/>
      <c r="M765" s="3"/>
      <c r="N765" s="2"/>
      <c r="O765" s="2"/>
      <c r="P765" s="2"/>
      <c r="Q765" s="2"/>
    </row>
    <row r="766" spans="1:17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3"/>
      <c r="M766" s="3"/>
      <c r="N766" s="2"/>
      <c r="O766" s="2"/>
      <c r="P766" s="2"/>
      <c r="Q766" s="2"/>
    </row>
    <row r="767" spans="1:1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3"/>
      <c r="M767" s="3"/>
      <c r="N767" s="2"/>
      <c r="O767" s="2"/>
      <c r="P767" s="2"/>
      <c r="Q767" s="2"/>
    </row>
    <row r="768" spans="1:17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3"/>
      <c r="M768" s="3"/>
      <c r="N768" s="2"/>
      <c r="O768" s="2"/>
      <c r="P768" s="2"/>
      <c r="Q768" s="2"/>
    </row>
    <row r="769" spans="1:17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3"/>
      <c r="M769" s="3"/>
      <c r="N769" s="2"/>
      <c r="O769" s="2"/>
      <c r="P769" s="2"/>
      <c r="Q769" s="2"/>
    </row>
    <row r="770" spans="1:17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3"/>
      <c r="M770" s="3"/>
      <c r="N770" s="2"/>
      <c r="O770" s="2"/>
      <c r="P770" s="2"/>
      <c r="Q770" s="2"/>
    </row>
    <row r="771" spans="1:17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3"/>
      <c r="M771" s="3"/>
      <c r="N771" s="2"/>
      <c r="O771" s="2"/>
      <c r="P771" s="2"/>
      <c r="Q771" s="2"/>
    </row>
    <row r="772" spans="1:17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3"/>
      <c r="M772" s="3"/>
      <c r="N772" s="2"/>
      <c r="O772" s="2"/>
      <c r="P772" s="2"/>
      <c r="Q772" s="2"/>
    </row>
    <row r="773" spans="1:17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3"/>
      <c r="M773" s="3"/>
      <c r="N773" s="2"/>
      <c r="O773" s="2"/>
      <c r="P773" s="2"/>
      <c r="Q773" s="2"/>
    </row>
    <row r="774" spans="1:17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3"/>
      <c r="M774" s="3"/>
      <c r="N774" s="2"/>
      <c r="O774" s="2"/>
      <c r="P774" s="2"/>
      <c r="Q774" s="2"/>
    </row>
    <row r="775" spans="1:17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3"/>
      <c r="M775" s="3"/>
      <c r="N775" s="2"/>
      <c r="O775" s="2"/>
      <c r="P775" s="2"/>
      <c r="Q775" s="2"/>
    </row>
    <row r="776" spans="1:17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3"/>
      <c r="M776" s="3"/>
      <c r="N776" s="2"/>
      <c r="O776" s="2"/>
      <c r="P776" s="2"/>
      <c r="Q776" s="2"/>
    </row>
    <row r="777" spans="1:1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3"/>
      <c r="M777" s="3"/>
      <c r="N777" s="2"/>
      <c r="O777" s="2"/>
      <c r="P777" s="2"/>
      <c r="Q777" s="2"/>
    </row>
    <row r="778" spans="1:17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3"/>
      <c r="M778" s="3"/>
      <c r="N778" s="2"/>
      <c r="O778" s="2"/>
      <c r="P778" s="2"/>
      <c r="Q778" s="2"/>
    </row>
    <row r="779" spans="1:17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3"/>
      <c r="M779" s="3"/>
      <c r="N779" s="2"/>
      <c r="O779" s="2"/>
      <c r="P779" s="2"/>
      <c r="Q779" s="2"/>
    </row>
    <row r="780" spans="1:17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3"/>
      <c r="M780" s="3"/>
      <c r="N780" s="2"/>
      <c r="O780" s="2"/>
      <c r="P780" s="2"/>
      <c r="Q780" s="2"/>
    </row>
    <row r="781" spans="1:17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3"/>
      <c r="M781" s="3"/>
      <c r="N781" s="2"/>
      <c r="O781" s="2"/>
      <c r="P781" s="2"/>
      <c r="Q781" s="2"/>
    </row>
    <row r="782" spans="1:17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3"/>
      <c r="M782" s="3"/>
      <c r="N782" s="2"/>
      <c r="O782" s="2"/>
      <c r="P782" s="2"/>
      <c r="Q782" s="2"/>
    </row>
    <row r="783" spans="1:17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3"/>
      <c r="M783" s="3"/>
      <c r="N783" s="2"/>
      <c r="O783" s="2"/>
      <c r="P783" s="2"/>
      <c r="Q783" s="2"/>
    </row>
    <row r="784" spans="1:17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3"/>
      <c r="M784" s="3"/>
      <c r="N784" s="2"/>
      <c r="O784" s="2"/>
      <c r="P784" s="2"/>
      <c r="Q784" s="2"/>
    </row>
    <row r="785" spans="1:17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3"/>
      <c r="M785" s="3"/>
      <c r="N785" s="2"/>
      <c r="O785" s="2"/>
      <c r="P785" s="2"/>
      <c r="Q785" s="2"/>
    </row>
    <row r="786" spans="1:17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3"/>
      <c r="M786" s="3"/>
      <c r="N786" s="2"/>
      <c r="O786" s="2"/>
      <c r="P786" s="2"/>
      <c r="Q786" s="2"/>
    </row>
    <row r="787" spans="1:1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3"/>
      <c r="M787" s="3"/>
      <c r="N787" s="2"/>
      <c r="O787" s="2"/>
      <c r="P787" s="2"/>
      <c r="Q787" s="2"/>
    </row>
    <row r="788" spans="1:17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3"/>
      <c r="M788" s="3"/>
      <c r="N788" s="2"/>
      <c r="O788" s="2"/>
      <c r="P788" s="2"/>
      <c r="Q788" s="2"/>
    </row>
    <row r="789" spans="1:17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3"/>
      <c r="M789" s="3"/>
      <c r="N789" s="2"/>
      <c r="O789" s="2"/>
      <c r="P789" s="2"/>
      <c r="Q789" s="2"/>
    </row>
    <row r="790" spans="1:17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3"/>
      <c r="M790" s="3"/>
      <c r="N790" s="2"/>
      <c r="O790" s="2"/>
      <c r="P790" s="2"/>
      <c r="Q790" s="2"/>
    </row>
    <row r="791" spans="1:17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3"/>
      <c r="M791" s="3"/>
      <c r="N791" s="2"/>
      <c r="O791" s="2"/>
      <c r="P791" s="2"/>
      <c r="Q791" s="2"/>
    </row>
    <row r="792" spans="1:17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3"/>
      <c r="M792" s="3"/>
      <c r="N792" s="2"/>
      <c r="O792" s="2"/>
      <c r="P792" s="2"/>
      <c r="Q792" s="2"/>
    </row>
    <row r="793" spans="1:17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3"/>
      <c r="M793" s="3"/>
      <c r="N793" s="2"/>
      <c r="O793" s="2"/>
      <c r="P793" s="2"/>
      <c r="Q793" s="2"/>
    </row>
    <row r="794" spans="1:17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3"/>
      <c r="M794" s="3"/>
      <c r="N794" s="2"/>
      <c r="O794" s="2"/>
      <c r="P794" s="2"/>
      <c r="Q794" s="2"/>
    </row>
    <row r="795" spans="1:17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3"/>
      <c r="M795" s="3"/>
      <c r="N795" s="2"/>
      <c r="O795" s="2"/>
      <c r="P795" s="2"/>
      <c r="Q795" s="2"/>
    </row>
    <row r="796" spans="1:17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3"/>
      <c r="M796" s="3"/>
      <c r="N796" s="2"/>
      <c r="O796" s="2"/>
      <c r="P796" s="2"/>
      <c r="Q796" s="2"/>
    </row>
    <row r="797" spans="1:1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3"/>
      <c r="M797" s="3"/>
      <c r="N797" s="2"/>
      <c r="O797" s="2"/>
      <c r="P797" s="2"/>
      <c r="Q797" s="2"/>
    </row>
    <row r="798" spans="1:17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3"/>
      <c r="M798" s="3"/>
      <c r="N798" s="2"/>
      <c r="O798" s="2"/>
      <c r="P798" s="2"/>
      <c r="Q798" s="2"/>
    </row>
    <row r="799" spans="1:17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3"/>
      <c r="M799" s="3"/>
      <c r="N799" s="2"/>
      <c r="O799" s="2"/>
      <c r="P799" s="2"/>
      <c r="Q799" s="2"/>
    </row>
    <row r="800" spans="1:17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3"/>
      <c r="M800" s="3"/>
      <c r="N800" s="2"/>
      <c r="O800" s="2"/>
      <c r="P800" s="2"/>
      <c r="Q800" s="2"/>
    </row>
    <row r="801" spans="1:17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3"/>
      <c r="M801" s="3"/>
      <c r="N801" s="2"/>
      <c r="O801" s="2"/>
      <c r="P801" s="2"/>
      <c r="Q801" s="2"/>
    </row>
    <row r="802" spans="1:17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3"/>
      <c r="M802" s="3"/>
      <c r="N802" s="2"/>
      <c r="O802" s="2"/>
      <c r="P802" s="2"/>
      <c r="Q802" s="2"/>
    </row>
    <row r="803" spans="1:17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3"/>
      <c r="M803" s="3"/>
      <c r="N803" s="2"/>
      <c r="O803" s="2"/>
      <c r="P803" s="2"/>
      <c r="Q803" s="2"/>
    </row>
    <row r="804" spans="1:17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3"/>
      <c r="M804" s="3"/>
      <c r="N804" s="2"/>
      <c r="O804" s="2"/>
      <c r="P804" s="2"/>
      <c r="Q804" s="2"/>
    </row>
    <row r="805" spans="1:17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3"/>
      <c r="M805" s="3"/>
      <c r="N805" s="2"/>
      <c r="O805" s="2"/>
      <c r="P805" s="2"/>
      <c r="Q805" s="2"/>
    </row>
    <row r="806" spans="1:17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3"/>
      <c r="M806" s="3"/>
      <c r="N806" s="2"/>
      <c r="O806" s="2"/>
      <c r="P806" s="2"/>
      <c r="Q806" s="2"/>
    </row>
    <row r="807" spans="1:1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3"/>
      <c r="M807" s="3"/>
      <c r="N807" s="2"/>
      <c r="O807" s="2"/>
      <c r="P807" s="2"/>
      <c r="Q807" s="2"/>
    </row>
    <row r="808" spans="1:17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3"/>
      <c r="M808" s="3"/>
      <c r="N808" s="2"/>
      <c r="O808" s="2"/>
      <c r="P808" s="2"/>
      <c r="Q808" s="2"/>
    </row>
    <row r="809" spans="1:17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3"/>
      <c r="M809" s="3"/>
      <c r="N809" s="2"/>
      <c r="O809" s="2"/>
      <c r="P809" s="2"/>
      <c r="Q809" s="2"/>
    </row>
    <row r="810" spans="1:17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3"/>
      <c r="M810" s="3"/>
      <c r="N810" s="2"/>
      <c r="O810" s="2"/>
      <c r="P810" s="2"/>
      <c r="Q810" s="2"/>
    </row>
    <row r="811" spans="1:17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3"/>
      <c r="M811" s="3"/>
      <c r="N811" s="2"/>
      <c r="O811" s="2"/>
      <c r="P811" s="2"/>
      <c r="Q811" s="2"/>
    </row>
    <row r="812" spans="1:17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3"/>
      <c r="M812" s="3"/>
      <c r="N812" s="2"/>
      <c r="O812" s="2"/>
      <c r="P812" s="2"/>
      <c r="Q812" s="2"/>
    </row>
    <row r="813" spans="1:17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3"/>
      <c r="M813" s="3"/>
      <c r="N813" s="2"/>
      <c r="O813" s="2"/>
      <c r="P813" s="2"/>
      <c r="Q813" s="2"/>
    </row>
    <row r="814" spans="1:17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3"/>
      <c r="M814" s="3"/>
      <c r="N814" s="2"/>
      <c r="O814" s="2"/>
      <c r="P814" s="2"/>
      <c r="Q814" s="2"/>
    </row>
    <row r="815" spans="1:17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3"/>
      <c r="M815" s="3"/>
      <c r="N815" s="2"/>
      <c r="O815" s="2"/>
      <c r="P815" s="2"/>
      <c r="Q815" s="2"/>
    </row>
    <row r="816" spans="1:17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3"/>
      <c r="M816" s="3"/>
      <c r="N816" s="2"/>
      <c r="O816" s="2"/>
      <c r="P816" s="2"/>
      <c r="Q816" s="2"/>
    </row>
    <row r="817" spans="1: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3"/>
      <c r="M817" s="3"/>
      <c r="N817" s="2"/>
      <c r="O817" s="2"/>
      <c r="P817" s="2"/>
      <c r="Q817" s="2"/>
    </row>
    <row r="818" spans="1:17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3"/>
      <c r="M818" s="3"/>
      <c r="N818" s="2"/>
      <c r="O818" s="2"/>
      <c r="P818" s="2"/>
      <c r="Q818" s="2"/>
    </row>
    <row r="819" spans="1:17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3"/>
      <c r="M819" s="3"/>
      <c r="N819" s="2"/>
      <c r="O819" s="2"/>
      <c r="P819" s="2"/>
      <c r="Q819" s="2"/>
    </row>
    <row r="820" spans="1:17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3"/>
      <c r="M820" s="3"/>
      <c r="N820" s="2"/>
      <c r="O820" s="2"/>
      <c r="P820" s="2"/>
      <c r="Q820" s="2"/>
    </row>
    <row r="821" spans="1:17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3"/>
      <c r="M821" s="3"/>
      <c r="N821" s="2"/>
      <c r="O821" s="2"/>
      <c r="P821" s="2"/>
      <c r="Q821" s="2"/>
    </row>
    <row r="822" spans="1:17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3"/>
      <c r="M822" s="3"/>
      <c r="N822" s="2"/>
      <c r="O822" s="2"/>
      <c r="P822" s="2"/>
      <c r="Q822" s="2"/>
    </row>
    <row r="823" spans="1:17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3"/>
      <c r="M823" s="3"/>
      <c r="N823" s="2"/>
      <c r="O823" s="2"/>
      <c r="P823" s="2"/>
      <c r="Q823" s="2"/>
    </row>
    <row r="824" spans="1:17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3"/>
      <c r="M824" s="3"/>
      <c r="N824" s="2"/>
      <c r="O824" s="2"/>
      <c r="P824" s="2"/>
      <c r="Q824" s="2"/>
    </row>
    <row r="825" spans="1:17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3"/>
      <c r="M825" s="3"/>
      <c r="N825" s="2"/>
      <c r="O825" s="2"/>
      <c r="P825" s="2"/>
      <c r="Q825" s="2"/>
    </row>
    <row r="826" spans="1:17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3"/>
      <c r="M826" s="3"/>
      <c r="N826" s="2"/>
      <c r="O826" s="2"/>
      <c r="P826" s="2"/>
      <c r="Q826" s="2"/>
    </row>
    <row r="827" spans="1:1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3"/>
      <c r="M827" s="3"/>
      <c r="N827" s="2"/>
      <c r="O827" s="2"/>
      <c r="P827" s="2"/>
      <c r="Q827" s="2"/>
    </row>
    <row r="828" spans="1:17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3"/>
      <c r="M828" s="3"/>
      <c r="N828" s="2"/>
      <c r="O828" s="2"/>
      <c r="P828" s="2"/>
      <c r="Q828" s="2"/>
    </row>
    <row r="829" spans="1:17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3"/>
      <c r="M829" s="3"/>
      <c r="N829" s="2"/>
      <c r="O829" s="2"/>
      <c r="P829" s="2"/>
      <c r="Q829" s="2"/>
    </row>
    <row r="830" spans="1:17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3"/>
      <c r="M830" s="3"/>
      <c r="N830" s="2"/>
      <c r="O830" s="2"/>
      <c r="P830" s="2"/>
      <c r="Q830" s="2"/>
    </row>
    <row r="831" spans="1:17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3"/>
      <c r="M831" s="3"/>
      <c r="N831" s="2"/>
      <c r="O831" s="2"/>
      <c r="P831" s="2"/>
      <c r="Q831" s="2"/>
    </row>
    <row r="832" spans="1:17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3"/>
      <c r="M832" s="3"/>
      <c r="N832" s="2"/>
      <c r="O832" s="2"/>
      <c r="P832" s="2"/>
      <c r="Q832" s="2"/>
    </row>
    <row r="833" spans="1:17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3"/>
      <c r="M833" s="3"/>
      <c r="N833" s="2"/>
      <c r="O833" s="2"/>
      <c r="P833" s="2"/>
      <c r="Q833" s="2"/>
    </row>
    <row r="834" spans="1:17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3"/>
      <c r="M834" s="3"/>
      <c r="N834" s="2"/>
      <c r="O834" s="2"/>
      <c r="P834" s="2"/>
      <c r="Q834" s="2"/>
    </row>
    <row r="835" spans="1:17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3"/>
      <c r="M835" s="3"/>
      <c r="N835" s="2"/>
      <c r="O835" s="2"/>
      <c r="P835" s="2"/>
      <c r="Q835" s="2"/>
    </row>
    <row r="836" spans="1:17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3"/>
      <c r="M836" s="3"/>
      <c r="N836" s="2"/>
      <c r="O836" s="2"/>
      <c r="P836" s="2"/>
      <c r="Q836" s="2"/>
    </row>
    <row r="837" spans="1:1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3"/>
      <c r="M837" s="3"/>
      <c r="N837" s="2"/>
      <c r="O837" s="2"/>
      <c r="P837" s="2"/>
      <c r="Q837" s="2"/>
    </row>
    <row r="838" spans="1:17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3"/>
      <c r="M838" s="3"/>
      <c r="N838" s="2"/>
      <c r="O838" s="2"/>
      <c r="P838" s="2"/>
      <c r="Q838" s="2"/>
    </row>
    <row r="839" spans="1:17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3"/>
      <c r="M839" s="3"/>
      <c r="N839" s="2"/>
      <c r="O839" s="2"/>
      <c r="P839" s="2"/>
      <c r="Q839" s="2"/>
    </row>
    <row r="840" spans="1:17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3"/>
      <c r="M840" s="3"/>
      <c r="N840" s="2"/>
      <c r="O840" s="2"/>
      <c r="P840" s="2"/>
      <c r="Q840" s="2"/>
    </row>
    <row r="841" spans="1:17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3"/>
      <c r="M841" s="3"/>
      <c r="N841" s="2"/>
      <c r="O841" s="2"/>
      <c r="P841" s="2"/>
      <c r="Q841" s="2"/>
    </row>
    <row r="842" spans="1:17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3"/>
      <c r="M842" s="3"/>
      <c r="N842" s="2"/>
      <c r="O842" s="2"/>
      <c r="P842" s="2"/>
      <c r="Q842" s="2"/>
    </row>
    <row r="843" spans="1:17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3"/>
      <c r="M843" s="3"/>
      <c r="N843" s="2"/>
      <c r="O843" s="2"/>
      <c r="P843" s="2"/>
      <c r="Q843" s="2"/>
    </row>
    <row r="844" spans="1:17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3"/>
      <c r="M844" s="3"/>
      <c r="N844" s="2"/>
      <c r="O844" s="2"/>
      <c r="P844" s="2"/>
      <c r="Q844" s="2"/>
    </row>
    <row r="845" spans="1:17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3"/>
      <c r="M845" s="3"/>
      <c r="N845" s="2"/>
      <c r="O845" s="2"/>
      <c r="P845" s="2"/>
      <c r="Q845" s="2"/>
    </row>
    <row r="846" spans="1:17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3"/>
      <c r="M846" s="3"/>
      <c r="N846" s="2"/>
      <c r="O846" s="2"/>
      <c r="P846" s="2"/>
      <c r="Q846" s="2"/>
    </row>
    <row r="847" spans="1:1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3"/>
      <c r="M847" s="3"/>
      <c r="N847" s="2"/>
      <c r="O847" s="2"/>
      <c r="P847" s="2"/>
      <c r="Q847" s="2"/>
    </row>
    <row r="848" spans="1:17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3"/>
      <c r="M848" s="3"/>
      <c r="N848" s="2"/>
      <c r="O848" s="2"/>
      <c r="P848" s="2"/>
      <c r="Q848" s="2"/>
    </row>
    <row r="849" spans="1:17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3"/>
      <c r="M849" s="3"/>
      <c r="N849" s="2"/>
      <c r="O849" s="2"/>
      <c r="P849" s="2"/>
      <c r="Q849" s="2"/>
    </row>
    <row r="850" spans="1:17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3"/>
      <c r="M850" s="3"/>
      <c r="N850" s="2"/>
      <c r="O850" s="2"/>
      <c r="P850" s="2"/>
      <c r="Q850" s="2"/>
    </row>
    <row r="851" spans="1:17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3"/>
      <c r="M851" s="3"/>
      <c r="N851" s="2"/>
      <c r="O851" s="2"/>
      <c r="P851" s="2"/>
      <c r="Q851" s="2"/>
    </row>
    <row r="852" spans="1:17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3"/>
      <c r="M852" s="3"/>
      <c r="N852" s="2"/>
      <c r="O852" s="2"/>
      <c r="P852" s="2"/>
      <c r="Q852" s="2"/>
    </row>
    <row r="853" spans="1:17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3"/>
      <c r="M853" s="3"/>
      <c r="N853" s="2"/>
      <c r="O853" s="2"/>
      <c r="P853" s="2"/>
      <c r="Q853" s="2"/>
    </row>
    <row r="854" spans="1:17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3"/>
      <c r="M854" s="3"/>
      <c r="N854" s="2"/>
      <c r="O854" s="2"/>
      <c r="P854" s="2"/>
      <c r="Q854" s="2"/>
    </row>
    <row r="855" spans="1:17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3"/>
      <c r="M855" s="3"/>
      <c r="N855" s="2"/>
      <c r="O855" s="2"/>
      <c r="P855" s="2"/>
      <c r="Q855" s="2"/>
    </row>
    <row r="856" spans="1:17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3"/>
      <c r="M856" s="3"/>
      <c r="N856" s="2"/>
      <c r="O856" s="2"/>
      <c r="P856" s="2"/>
      <c r="Q856" s="2"/>
    </row>
    <row r="857" spans="1:1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3"/>
      <c r="M857" s="3"/>
      <c r="N857" s="2"/>
      <c r="O857" s="2"/>
      <c r="P857" s="2"/>
      <c r="Q857" s="2"/>
    </row>
    <row r="858" spans="1:17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3"/>
      <c r="M858" s="3"/>
      <c r="N858" s="2"/>
      <c r="O858" s="2"/>
      <c r="P858" s="2"/>
      <c r="Q858" s="2"/>
    </row>
    <row r="859" spans="1:17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3"/>
      <c r="M859" s="3"/>
      <c r="N859" s="2"/>
      <c r="O859" s="2"/>
      <c r="P859" s="2"/>
      <c r="Q859" s="2"/>
    </row>
    <row r="860" spans="1:17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3"/>
      <c r="M860" s="3"/>
      <c r="N860" s="2"/>
      <c r="O860" s="2"/>
      <c r="P860" s="2"/>
      <c r="Q860" s="2"/>
    </row>
    <row r="861" spans="1:17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3"/>
      <c r="M861" s="3"/>
      <c r="N861" s="2"/>
      <c r="O861" s="2"/>
      <c r="P861" s="2"/>
      <c r="Q861" s="2"/>
    </row>
    <row r="862" spans="1:17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3"/>
      <c r="M862" s="3"/>
      <c r="N862" s="2"/>
      <c r="O862" s="2"/>
      <c r="P862" s="2"/>
      <c r="Q862" s="2"/>
    </row>
    <row r="863" spans="1:17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3"/>
      <c r="M863" s="3"/>
      <c r="N863" s="2"/>
      <c r="O863" s="2"/>
      <c r="P863" s="2"/>
      <c r="Q863" s="2"/>
    </row>
    <row r="864" spans="1:17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3"/>
      <c r="M864" s="3"/>
      <c r="N864" s="2"/>
      <c r="O864" s="2"/>
      <c r="P864" s="2"/>
      <c r="Q864" s="2"/>
    </row>
    <row r="865" spans="1:17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3"/>
      <c r="M865" s="3"/>
      <c r="N865" s="2"/>
      <c r="O865" s="2"/>
      <c r="P865" s="2"/>
      <c r="Q865" s="2"/>
    </row>
    <row r="866" spans="1:17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3"/>
      <c r="M866" s="3"/>
      <c r="N866" s="2"/>
      <c r="O866" s="2"/>
      <c r="P866" s="2"/>
      <c r="Q866" s="2"/>
    </row>
    <row r="867" spans="1:1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3"/>
      <c r="M867" s="3"/>
      <c r="N867" s="2"/>
      <c r="O867" s="2"/>
      <c r="P867" s="2"/>
      <c r="Q867" s="2"/>
    </row>
    <row r="868" spans="1:17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3"/>
      <c r="M868" s="3"/>
      <c r="N868" s="2"/>
      <c r="O868" s="2"/>
      <c r="P868" s="2"/>
      <c r="Q868" s="2"/>
    </row>
    <row r="869" spans="1:17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3"/>
      <c r="M869" s="3"/>
      <c r="N869" s="2"/>
      <c r="O869" s="2"/>
      <c r="P869" s="2"/>
      <c r="Q869" s="2"/>
    </row>
    <row r="870" spans="1:17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3"/>
      <c r="M870" s="3"/>
      <c r="N870" s="2"/>
      <c r="O870" s="2"/>
      <c r="P870" s="2"/>
      <c r="Q870" s="2"/>
    </row>
    <row r="871" spans="1:17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3"/>
      <c r="M871" s="3"/>
      <c r="N871" s="2"/>
      <c r="O871" s="2"/>
      <c r="P871" s="2"/>
      <c r="Q871" s="2"/>
    </row>
    <row r="872" spans="1:17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3"/>
      <c r="M872" s="3"/>
      <c r="N872" s="2"/>
      <c r="O872" s="2"/>
      <c r="P872" s="2"/>
      <c r="Q872" s="2"/>
    </row>
    <row r="873" spans="1:17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3"/>
      <c r="M873" s="3"/>
      <c r="N873" s="2"/>
      <c r="O873" s="2"/>
      <c r="P873" s="2"/>
      <c r="Q873" s="2"/>
    </row>
    <row r="874" spans="1:17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3"/>
      <c r="M874" s="3"/>
      <c r="N874" s="2"/>
      <c r="O874" s="2"/>
      <c r="P874" s="2"/>
      <c r="Q874" s="2"/>
    </row>
    <row r="875" spans="1:17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3"/>
      <c r="M875" s="3"/>
      <c r="N875" s="2"/>
      <c r="O875" s="2"/>
      <c r="P875" s="2"/>
      <c r="Q875" s="2"/>
    </row>
    <row r="876" spans="1:17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3"/>
      <c r="M876" s="3"/>
      <c r="N876" s="2"/>
      <c r="O876" s="2"/>
      <c r="P876" s="2"/>
      <c r="Q876" s="2"/>
    </row>
    <row r="877" spans="1:1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3"/>
      <c r="M877" s="3"/>
      <c r="N877" s="2"/>
      <c r="O877" s="2"/>
      <c r="P877" s="2"/>
      <c r="Q877" s="2"/>
    </row>
    <row r="878" spans="1:17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3"/>
      <c r="M878" s="3"/>
      <c r="N878" s="2"/>
      <c r="O878" s="2"/>
      <c r="P878" s="2"/>
      <c r="Q878" s="2"/>
    </row>
    <row r="879" spans="1:17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3"/>
      <c r="M879" s="3"/>
      <c r="N879" s="2"/>
      <c r="O879" s="2"/>
      <c r="P879" s="2"/>
      <c r="Q879" s="2"/>
    </row>
    <row r="880" spans="1:17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3"/>
      <c r="M880" s="3"/>
      <c r="N880" s="2"/>
      <c r="O880" s="2"/>
      <c r="P880" s="2"/>
      <c r="Q880" s="2"/>
    </row>
    <row r="881" spans="1:17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3"/>
      <c r="M881" s="3"/>
      <c r="N881" s="2"/>
      <c r="O881" s="2"/>
      <c r="P881" s="2"/>
      <c r="Q881" s="2"/>
    </row>
    <row r="882" spans="1:17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3"/>
      <c r="M882" s="3"/>
      <c r="N882" s="2"/>
      <c r="O882" s="2"/>
      <c r="P882" s="2"/>
      <c r="Q882" s="2"/>
    </row>
    <row r="883" spans="1:17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3"/>
      <c r="M883" s="3"/>
      <c r="N883" s="2"/>
      <c r="O883" s="2"/>
      <c r="P883" s="2"/>
      <c r="Q883" s="2"/>
    </row>
    <row r="884" spans="1:17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3"/>
      <c r="M884" s="3"/>
      <c r="N884" s="2"/>
      <c r="O884" s="2"/>
      <c r="P884" s="2"/>
      <c r="Q884" s="2"/>
    </row>
    <row r="885" spans="1:17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3"/>
      <c r="M885" s="3"/>
      <c r="N885" s="2"/>
      <c r="O885" s="2"/>
      <c r="P885" s="2"/>
      <c r="Q885" s="2"/>
    </row>
    <row r="886" spans="1:17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3"/>
      <c r="M886" s="3"/>
      <c r="N886" s="2"/>
      <c r="O886" s="2"/>
      <c r="P886" s="2"/>
      <c r="Q886" s="2"/>
    </row>
    <row r="887" spans="1:1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3"/>
      <c r="M887" s="3"/>
      <c r="N887" s="2"/>
      <c r="O887" s="2"/>
      <c r="P887" s="2"/>
      <c r="Q887" s="2"/>
    </row>
    <row r="888" spans="1:17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3"/>
      <c r="M888" s="3"/>
      <c r="N888" s="2"/>
      <c r="O888" s="2"/>
      <c r="P888" s="2"/>
      <c r="Q888" s="2"/>
    </row>
    <row r="889" spans="1:17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3"/>
      <c r="M889" s="3"/>
      <c r="N889" s="2"/>
      <c r="O889" s="2"/>
      <c r="P889" s="2"/>
      <c r="Q889" s="2"/>
    </row>
    <row r="890" spans="1:17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3"/>
      <c r="M890" s="3"/>
      <c r="N890" s="2"/>
      <c r="O890" s="2"/>
      <c r="P890" s="2"/>
      <c r="Q890" s="2"/>
    </row>
    <row r="891" spans="1:17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3"/>
      <c r="M891" s="3"/>
      <c r="N891" s="2"/>
      <c r="O891" s="2"/>
      <c r="P891" s="2"/>
      <c r="Q891" s="2"/>
    </row>
    <row r="892" spans="1:17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3"/>
      <c r="M892" s="3"/>
      <c r="N892" s="2"/>
      <c r="O892" s="2"/>
      <c r="P892" s="2"/>
      <c r="Q892" s="2"/>
    </row>
    <row r="893" spans="1:17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3"/>
      <c r="M893" s="3"/>
      <c r="N893" s="2"/>
      <c r="O893" s="2"/>
      <c r="P893" s="2"/>
      <c r="Q893" s="2"/>
    </row>
    <row r="894" spans="1:17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3"/>
      <c r="M894" s="3"/>
      <c r="N894" s="2"/>
      <c r="O894" s="2"/>
      <c r="P894" s="2"/>
      <c r="Q894" s="2"/>
    </row>
    <row r="895" spans="1:17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3"/>
      <c r="M895" s="3"/>
      <c r="N895" s="2"/>
      <c r="O895" s="2"/>
      <c r="P895" s="2"/>
      <c r="Q895" s="2"/>
    </row>
    <row r="896" spans="1:17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3"/>
      <c r="M896" s="3"/>
      <c r="N896" s="2"/>
      <c r="O896" s="2"/>
      <c r="P896" s="2"/>
      <c r="Q896" s="2"/>
    </row>
    <row r="897" spans="1:1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3"/>
      <c r="M897" s="3"/>
      <c r="N897" s="2"/>
      <c r="O897" s="2"/>
      <c r="P897" s="2"/>
      <c r="Q897" s="2"/>
    </row>
    <row r="898" spans="1:17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3"/>
      <c r="M898" s="3"/>
      <c r="N898" s="2"/>
      <c r="O898" s="2"/>
      <c r="P898" s="2"/>
      <c r="Q898" s="2"/>
    </row>
    <row r="899" spans="1:17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3"/>
      <c r="M899" s="3"/>
      <c r="N899" s="2"/>
      <c r="O899" s="2"/>
      <c r="P899" s="2"/>
      <c r="Q899" s="2"/>
    </row>
    <row r="900" spans="1:17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3"/>
      <c r="M900" s="3"/>
      <c r="N900" s="2"/>
      <c r="O900" s="2"/>
      <c r="P900" s="2"/>
      <c r="Q900" s="2"/>
    </row>
    <row r="901" spans="1:17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3"/>
      <c r="M901" s="3"/>
      <c r="N901" s="2"/>
      <c r="O901" s="2"/>
      <c r="P901" s="2"/>
      <c r="Q901" s="2"/>
    </row>
    <row r="902" spans="1:17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3"/>
      <c r="M902" s="3"/>
      <c r="N902" s="2"/>
      <c r="O902" s="2"/>
      <c r="P902" s="2"/>
      <c r="Q902" s="2"/>
    </row>
    <row r="903" spans="1:17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3"/>
      <c r="M903" s="3"/>
      <c r="N903" s="2"/>
      <c r="O903" s="2"/>
      <c r="P903" s="2"/>
      <c r="Q903" s="2"/>
    </row>
    <row r="904" spans="1:17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3"/>
      <c r="M904" s="3"/>
      <c r="N904" s="2"/>
      <c r="O904" s="2"/>
      <c r="P904" s="2"/>
      <c r="Q904" s="2"/>
    </row>
    <row r="905" spans="1:17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3"/>
      <c r="M905" s="3"/>
      <c r="N905" s="2"/>
      <c r="O905" s="2"/>
      <c r="P905" s="2"/>
      <c r="Q905" s="2"/>
    </row>
    <row r="906" spans="1:17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3"/>
      <c r="M906" s="3"/>
      <c r="N906" s="2"/>
      <c r="O906" s="2"/>
      <c r="P906" s="2"/>
      <c r="Q906" s="2"/>
    </row>
    <row r="907" spans="1:1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3"/>
      <c r="M907" s="3"/>
      <c r="N907" s="2"/>
      <c r="O907" s="2"/>
      <c r="P907" s="2"/>
      <c r="Q907" s="2"/>
    </row>
    <row r="908" spans="1:17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3"/>
      <c r="M908" s="3"/>
      <c r="N908" s="2"/>
      <c r="O908" s="2"/>
      <c r="P908" s="2"/>
      <c r="Q908" s="2"/>
    </row>
    <row r="909" spans="1:17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3"/>
      <c r="M909" s="3"/>
      <c r="N909" s="2"/>
      <c r="O909" s="2"/>
      <c r="P909" s="2"/>
      <c r="Q909" s="2"/>
    </row>
    <row r="910" spans="1:17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3"/>
      <c r="M910" s="3"/>
      <c r="N910" s="2"/>
      <c r="O910" s="2"/>
      <c r="P910" s="2"/>
      <c r="Q910" s="2"/>
    </row>
    <row r="911" spans="1:17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3"/>
      <c r="M911" s="3"/>
      <c r="N911" s="2"/>
      <c r="O911" s="2"/>
      <c r="P911" s="2"/>
      <c r="Q911" s="2"/>
    </row>
    <row r="912" spans="1:17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3"/>
      <c r="M912" s="3"/>
      <c r="N912" s="2"/>
      <c r="O912" s="2"/>
      <c r="P912" s="2"/>
      <c r="Q912" s="2"/>
    </row>
    <row r="913" spans="1:17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3"/>
      <c r="M913" s="3"/>
      <c r="N913" s="2"/>
      <c r="O913" s="2"/>
      <c r="P913" s="2"/>
      <c r="Q913" s="2"/>
    </row>
    <row r="914" spans="1:17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3"/>
      <c r="M914" s="3"/>
      <c r="N914" s="2"/>
      <c r="O914" s="2"/>
      <c r="P914" s="2"/>
      <c r="Q914" s="2"/>
    </row>
    <row r="915" spans="1:17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3"/>
      <c r="M915" s="3"/>
      <c r="N915" s="2"/>
      <c r="O915" s="2"/>
      <c r="P915" s="2"/>
      <c r="Q915" s="2"/>
    </row>
    <row r="916" spans="1:17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3"/>
      <c r="M916" s="3"/>
      <c r="N916" s="2"/>
      <c r="O916" s="2"/>
      <c r="P916" s="2"/>
      <c r="Q916" s="2"/>
    </row>
    <row r="917" spans="1: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3"/>
      <c r="M917" s="3"/>
      <c r="N917" s="2"/>
      <c r="O917" s="2"/>
      <c r="P917" s="2"/>
      <c r="Q917" s="2"/>
    </row>
    <row r="918" spans="1:17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3"/>
      <c r="M918" s="3"/>
      <c r="N918" s="2"/>
      <c r="O918" s="2"/>
      <c r="P918" s="2"/>
      <c r="Q918" s="2"/>
    </row>
    <row r="919" spans="1:17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3"/>
      <c r="M919" s="3"/>
      <c r="N919" s="2"/>
      <c r="O919" s="2"/>
      <c r="P919" s="2"/>
      <c r="Q919" s="2"/>
    </row>
    <row r="920" spans="1:17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3"/>
      <c r="M920" s="3"/>
      <c r="N920" s="2"/>
      <c r="O920" s="2"/>
      <c r="P920" s="2"/>
      <c r="Q920" s="2"/>
    </row>
    <row r="921" spans="1:17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3"/>
      <c r="M921" s="3"/>
      <c r="N921" s="2"/>
      <c r="O921" s="2"/>
      <c r="P921" s="2"/>
      <c r="Q921" s="2"/>
    </row>
    <row r="922" spans="1:17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3"/>
      <c r="M922" s="3"/>
      <c r="N922" s="2"/>
      <c r="O922" s="2"/>
      <c r="P922" s="2"/>
      <c r="Q922" s="2"/>
    </row>
    <row r="923" spans="1:17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3"/>
      <c r="M923" s="3"/>
      <c r="N923" s="2"/>
      <c r="O923" s="2"/>
      <c r="P923" s="2"/>
      <c r="Q923" s="2"/>
    </row>
    <row r="924" spans="1:17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3"/>
      <c r="M924" s="3"/>
      <c r="N924" s="2"/>
      <c r="O924" s="2"/>
      <c r="P924" s="2"/>
      <c r="Q924" s="2"/>
    </row>
    <row r="925" spans="1:17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3"/>
      <c r="M925" s="3"/>
      <c r="N925" s="2"/>
      <c r="O925" s="2"/>
      <c r="P925" s="2"/>
      <c r="Q925" s="2"/>
    </row>
    <row r="926" spans="1:17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3"/>
      <c r="M926" s="3"/>
      <c r="N926" s="2"/>
      <c r="O926" s="2"/>
      <c r="P926" s="2"/>
      <c r="Q926" s="2"/>
    </row>
    <row r="927" spans="1:1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3"/>
      <c r="M927" s="3"/>
      <c r="N927" s="2"/>
      <c r="O927" s="2"/>
      <c r="P927" s="2"/>
      <c r="Q927" s="2"/>
    </row>
    <row r="928" spans="1:17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3"/>
      <c r="M928" s="3"/>
      <c r="N928" s="2"/>
      <c r="O928" s="2"/>
      <c r="P928" s="2"/>
      <c r="Q928" s="2"/>
    </row>
    <row r="929" spans="1:17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3"/>
      <c r="M929" s="3"/>
      <c r="N929" s="2"/>
      <c r="O929" s="2"/>
      <c r="P929" s="2"/>
      <c r="Q929" s="2"/>
    </row>
    <row r="930" spans="1:17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3"/>
      <c r="M930" s="3"/>
      <c r="N930" s="2"/>
      <c r="O930" s="2"/>
      <c r="P930" s="2"/>
      <c r="Q930" s="2"/>
    </row>
    <row r="931" spans="1:17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3"/>
      <c r="M931" s="3"/>
      <c r="N931" s="2"/>
      <c r="O931" s="2"/>
      <c r="P931" s="2"/>
      <c r="Q931" s="2"/>
    </row>
    <row r="932" spans="1:17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3"/>
      <c r="M932" s="3"/>
      <c r="N932" s="2"/>
      <c r="O932" s="2"/>
      <c r="P932" s="2"/>
      <c r="Q932" s="2"/>
    </row>
    <row r="933" spans="1:17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3"/>
      <c r="M933" s="3"/>
      <c r="N933" s="2"/>
      <c r="O933" s="2"/>
      <c r="P933" s="2"/>
      <c r="Q933" s="2"/>
    </row>
    <row r="934" spans="1:17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3"/>
      <c r="M934" s="3"/>
      <c r="N934" s="2"/>
      <c r="O934" s="2"/>
      <c r="P934" s="2"/>
      <c r="Q934" s="2"/>
    </row>
    <row r="935" spans="1:17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3"/>
      <c r="M935" s="3"/>
      <c r="N935" s="2"/>
      <c r="O935" s="2"/>
      <c r="P935" s="2"/>
      <c r="Q935" s="2"/>
    </row>
    <row r="936" spans="1:17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3"/>
      <c r="M936" s="3"/>
      <c r="N936" s="2"/>
      <c r="O936" s="2"/>
      <c r="P936" s="2"/>
      <c r="Q936" s="2"/>
    </row>
    <row r="937" spans="1:1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3"/>
      <c r="M937" s="3"/>
      <c r="N937" s="2"/>
      <c r="O937" s="2"/>
      <c r="P937" s="2"/>
      <c r="Q937" s="2"/>
    </row>
    <row r="938" spans="1:17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3"/>
      <c r="M938" s="3"/>
      <c r="N938" s="2"/>
      <c r="O938" s="2"/>
      <c r="P938" s="2"/>
      <c r="Q938" s="2"/>
    </row>
    <row r="939" spans="1:17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3"/>
      <c r="M939" s="3"/>
      <c r="N939" s="2"/>
      <c r="O939" s="2"/>
      <c r="P939" s="2"/>
      <c r="Q939" s="2"/>
    </row>
    <row r="940" spans="1:17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3"/>
      <c r="M940" s="3"/>
      <c r="N940" s="2"/>
      <c r="O940" s="2"/>
      <c r="P940" s="2"/>
      <c r="Q940" s="2"/>
    </row>
    <row r="941" spans="1:17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3"/>
      <c r="M941" s="3"/>
      <c r="N941" s="2"/>
      <c r="O941" s="2"/>
      <c r="P941" s="2"/>
      <c r="Q941" s="2"/>
    </row>
    <row r="942" spans="1:17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3"/>
      <c r="M942" s="3"/>
      <c r="N942" s="2"/>
      <c r="O942" s="2"/>
      <c r="P942" s="2"/>
      <c r="Q942" s="2"/>
    </row>
    <row r="943" spans="1:17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3"/>
      <c r="M943" s="3"/>
      <c r="N943" s="2"/>
      <c r="O943" s="2"/>
      <c r="P943" s="2"/>
      <c r="Q943" s="2"/>
    </row>
    <row r="944" spans="1:17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3"/>
      <c r="M944" s="3"/>
      <c r="N944" s="2"/>
      <c r="O944" s="2"/>
      <c r="P944" s="2"/>
      <c r="Q944" s="2"/>
    </row>
    <row r="945" spans="1:17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3"/>
      <c r="M945" s="3"/>
      <c r="N945" s="2"/>
      <c r="O945" s="2"/>
      <c r="P945" s="2"/>
      <c r="Q945" s="2"/>
    </row>
    <row r="946" spans="1:17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3"/>
      <c r="M946" s="3"/>
      <c r="N946" s="2"/>
      <c r="O946" s="2"/>
      <c r="P946" s="2"/>
      <c r="Q946" s="2"/>
    </row>
    <row r="947" spans="1:1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3"/>
      <c r="M947" s="3"/>
      <c r="N947" s="2"/>
      <c r="O947" s="2"/>
      <c r="P947" s="2"/>
      <c r="Q947" s="2"/>
    </row>
    <row r="948" spans="1:17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3"/>
      <c r="M948" s="3"/>
      <c r="N948" s="2"/>
      <c r="O948" s="2"/>
      <c r="P948" s="2"/>
      <c r="Q948" s="2"/>
    </row>
    <row r="949" spans="1:17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3"/>
      <c r="M949" s="3"/>
      <c r="N949" s="2"/>
      <c r="O949" s="2"/>
      <c r="P949" s="2"/>
      <c r="Q949" s="2"/>
    </row>
    <row r="950" spans="1:17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3"/>
      <c r="M950" s="3"/>
      <c r="N950" s="2"/>
      <c r="O950" s="2"/>
      <c r="P950" s="2"/>
      <c r="Q950" s="2"/>
    </row>
    <row r="951" spans="1:17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3"/>
      <c r="M951" s="3"/>
      <c r="N951" s="2"/>
      <c r="O951" s="2"/>
      <c r="P951" s="2"/>
      <c r="Q951" s="2"/>
    </row>
    <row r="952" spans="1:17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3"/>
      <c r="M952" s="3"/>
      <c r="N952" s="2"/>
      <c r="O952" s="2"/>
      <c r="P952" s="2"/>
      <c r="Q952" s="2"/>
    </row>
    <row r="953" spans="1:17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3"/>
      <c r="M953" s="3"/>
      <c r="N953" s="2"/>
      <c r="O953" s="2"/>
      <c r="P953" s="2"/>
      <c r="Q953" s="2"/>
    </row>
    <row r="954" spans="1:17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3"/>
      <c r="M954" s="3"/>
      <c r="N954" s="2"/>
      <c r="O954" s="2"/>
      <c r="P954" s="2"/>
      <c r="Q954" s="2"/>
    </row>
    <row r="955" spans="1:17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3"/>
      <c r="M955" s="3"/>
      <c r="N955" s="2"/>
      <c r="O955" s="2"/>
      <c r="P955" s="2"/>
      <c r="Q955" s="2"/>
    </row>
    <row r="956" spans="1:17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3"/>
      <c r="M956" s="3"/>
      <c r="N956" s="2"/>
      <c r="O956" s="2"/>
      <c r="P956" s="2"/>
      <c r="Q956" s="2"/>
    </row>
    <row r="957" spans="1:1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3"/>
      <c r="M957" s="3"/>
      <c r="N957" s="2"/>
      <c r="O957" s="2"/>
      <c r="P957" s="2"/>
      <c r="Q957" s="2"/>
    </row>
    <row r="958" spans="1:17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3"/>
      <c r="M958" s="3"/>
      <c r="N958" s="2"/>
      <c r="O958" s="2"/>
      <c r="P958" s="2"/>
      <c r="Q958" s="2"/>
    </row>
    <row r="959" spans="1:17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3"/>
      <c r="M959" s="3"/>
      <c r="N959" s="2"/>
      <c r="O959" s="2"/>
      <c r="P959" s="2"/>
      <c r="Q959" s="2"/>
    </row>
    <row r="960" spans="1:17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3"/>
      <c r="M960" s="3"/>
      <c r="N960" s="2"/>
      <c r="O960" s="2"/>
      <c r="P960" s="2"/>
      <c r="Q960" s="2"/>
    </row>
    <row r="961" spans="1:17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3"/>
      <c r="M961" s="3"/>
      <c r="N961" s="2"/>
      <c r="O961" s="2"/>
      <c r="P961" s="2"/>
      <c r="Q961" s="2"/>
    </row>
    <row r="962" spans="1:17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3"/>
      <c r="M962" s="3"/>
      <c r="N962" s="2"/>
      <c r="O962" s="2"/>
      <c r="P962" s="2"/>
      <c r="Q962" s="2"/>
    </row>
    <row r="963" spans="1:17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3"/>
      <c r="M963" s="3"/>
      <c r="N963" s="2"/>
      <c r="O963" s="2"/>
      <c r="P963" s="2"/>
      <c r="Q963" s="2"/>
    </row>
    <row r="964" spans="1:17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3"/>
      <c r="M964" s="3"/>
      <c r="N964" s="2"/>
      <c r="O964" s="2"/>
      <c r="P964" s="2"/>
      <c r="Q964" s="2"/>
    </row>
    <row r="965" spans="1:17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3"/>
      <c r="M965" s="3"/>
      <c r="N965" s="2"/>
      <c r="O965" s="2"/>
      <c r="P965" s="2"/>
      <c r="Q965" s="2"/>
    </row>
    <row r="966" spans="1:17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3"/>
      <c r="M966" s="3"/>
      <c r="N966" s="2"/>
      <c r="O966" s="2"/>
      <c r="P966" s="2"/>
      <c r="Q966" s="2"/>
    </row>
    <row r="967" spans="1:1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3"/>
      <c r="M967" s="3"/>
      <c r="N967" s="2"/>
      <c r="O967" s="2"/>
      <c r="P967" s="2"/>
      <c r="Q967" s="2"/>
    </row>
    <row r="968" spans="1:17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3"/>
      <c r="M968" s="3"/>
      <c r="N968" s="2"/>
      <c r="O968" s="2"/>
      <c r="P968" s="2"/>
      <c r="Q968" s="2"/>
    </row>
    <row r="969" spans="1:17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3"/>
      <c r="M969" s="3"/>
      <c r="N969" s="2"/>
      <c r="O969" s="2"/>
      <c r="P969" s="2"/>
      <c r="Q969" s="2"/>
    </row>
    <row r="970" spans="1:17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3"/>
      <c r="M970" s="3"/>
      <c r="N970" s="2"/>
      <c r="O970" s="2"/>
      <c r="P970" s="2"/>
      <c r="Q970" s="2"/>
    </row>
    <row r="971" spans="1:17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3"/>
      <c r="M971" s="3"/>
      <c r="N971" s="2"/>
      <c r="O971" s="2"/>
      <c r="P971" s="2"/>
      <c r="Q971" s="2"/>
    </row>
    <row r="972" spans="1:17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3"/>
      <c r="M972" s="3"/>
      <c r="N972" s="2"/>
      <c r="O972" s="2"/>
      <c r="P972" s="2"/>
      <c r="Q972" s="2"/>
    </row>
    <row r="973" spans="1:17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3"/>
      <c r="M973" s="3"/>
      <c r="N973" s="2"/>
      <c r="O973" s="2"/>
      <c r="P973" s="2"/>
      <c r="Q973" s="2"/>
    </row>
    <row r="974" spans="1:17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3"/>
      <c r="M974" s="3"/>
      <c r="N974" s="2"/>
      <c r="O974" s="2"/>
      <c r="P974" s="2"/>
      <c r="Q974" s="2"/>
    </row>
    <row r="975" spans="1:17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3"/>
      <c r="M975" s="3"/>
      <c r="N975" s="2"/>
      <c r="O975" s="2"/>
      <c r="P975" s="2"/>
      <c r="Q975" s="2"/>
    </row>
    <row r="976" spans="1:17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3"/>
      <c r="M976" s="3"/>
      <c r="N976" s="2"/>
      <c r="O976" s="2"/>
      <c r="P976" s="2"/>
      <c r="Q976" s="2"/>
    </row>
    <row r="977" spans="1:1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3"/>
      <c r="M977" s="3"/>
      <c r="N977" s="2"/>
      <c r="O977" s="2"/>
      <c r="P977" s="2"/>
      <c r="Q977" s="2"/>
    </row>
    <row r="978" spans="1:17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3"/>
      <c r="M978" s="3"/>
      <c r="N978" s="2"/>
      <c r="O978" s="2"/>
      <c r="P978" s="2"/>
      <c r="Q978" s="2"/>
    </row>
    <row r="979" spans="1:17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3"/>
      <c r="M979" s="3"/>
      <c r="N979" s="2"/>
      <c r="O979" s="2"/>
      <c r="P979" s="2"/>
      <c r="Q979" s="2"/>
    </row>
    <row r="980" spans="1:17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3"/>
      <c r="M980" s="3"/>
      <c r="N980" s="2"/>
      <c r="O980" s="2"/>
      <c r="P980" s="2"/>
      <c r="Q980" s="2"/>
    </row>
    <row r="981" spans="1:17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3"/>
      <c r="M981" s="3"/>
      <c r="N981" s="2"/>
      <c r="O981" s="2"/>
      <c r="P981" s="2"/>
      <c r="Q981" s="2"/>
    </row>
    <row r="982" spans="1:17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3"/>
      <c r="M982" s="3"/>
      <c r="N982" s="2"/>
      <c r="O982" s="2"/>
      <c r="P982" s="2"/>
      <c r="Q982" s="2"/>
    </row>
    <row r="983" spans="1:17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3"/>
      <c r="M983" s="3"/>
      <c r="N983" s="2"/>
      <c r="O983" s="2"/>
      <c r="P983" s="2"/>
      <c r="Q983" s="2"/>
    </row>
    <row r="984" spans="1:17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3"/>
      <c r="M984" s="3"/>
      <c r="N984" s="2"/>
      <c r="O984" s="2"/>
      <c r="P984" s="2"/>
      <c r="Q984" s="2"/>
    </row>
    <row r="985" spans="1:17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3"/>
      <c r="M985" s="3"/>
      <c r="N985" s="2"/>
      <c r="O985" s="2"/>
      <c r="P985" s="2"/>
      <c r="Q985" s="2"/>
    </row>
    <row r="986" spans="1:17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3"/>
      <c r="M986" s="3"/>
      <c r="N986" s="2"/>
      <c r="O986" s="2"/>
      <c r="P986" s="2"/>
      <c r="Q986" s="2"/>
    </row>
    <row r="987" spans="1:1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3"/>
      <c r="M987" s="3"/>
      <c r="N987" s="2"/>
      <c r="O987" s="2"/>
      <c r="P987" s="2"/>
      <c r="Q987" s="2"/>
    </row>
    <row r="988" spans="1:17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3"/>
      <c r="M988" s="3"/>
      <c r="N988" s="2"/>
      <c r="O988" s="2"/>
      <c r="P988" s="2"/>
      <c r="Q988" s="2"/>
    </row>
    <row r="989" spans="1:17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3"/>
      <c r="M989" s="3"/>
      <c r="N989" s="2"/>
      <c r="O989" s="2"/>
      <c r="P989" s="2"/>
      <c r="Q989" s="2"/>
    </row>
    <row r="990" spans="1:17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3"/>
      <c r="M990" s="3"/>
      <c r="N990" s="2"/>
      <c r="O990" s="2"/>
      <c r="P990" s="2"/>
      <c r="Q990" s="2"/>
    </row>
    <row r="991" spans="1:17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3"/>
      <c r="M991" s="3"/>
      <c r="N991" s="2"/>
      <c r="O991" s="2"/>
      <c r="P991" s="2"/>
      <c r="Q991" s="2"/>
    </row>
    <row r="992" spans="1:17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3"/>
      <c r="M992" s="3"/>
      <c r="N992" s="2"/>
      <c r="O992" s="2"/>
      <c r="P992" s="2"/>
      <c r="Q992" s="2"/>
    </row>
    <row r="993" spans="1:17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3"/>
      <c r="M993" s="3"/>
      <c r="N993" s="2"/>
      <c r="O993" s="2"/>
      <c r="P993" s="2"/>
      <c r="Q993" s="2"/>
    </row>
    <row r="994" spans="1:17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3"/>
      <c r="M994" s="3"/>
      <c r="N994" s="2"/>
      <c r="O994" s="2"/>
      <c r="P994" s="2"/>
      <c r="Q994" s="2"/>
    </row>
    <row r="995" spans="1:17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3"/>
      <c r="M995" s="3"/>
      <c r="N995" s="2"/>
      <c r="O995" s="2"/>
      <c r="P995" s="2"/>
      <c r="Q995" s="2"/>
    </row>
    <row r="996" spans="1:17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3"/>
      <c r="M996" s="3"/>
      <c r="N996" s="2"/>
      <c r="O996" s="2"/>
      <c r="P996" s="2"/>
      <c r="Q996" s="2"/>
    </row>
    <row r="997" spans="1:1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3"/>
      <c r="M997" s="3"/>
      <c r="N997" s="2"/>
      <c r="O997" s="2"/>
      <c r="P997" s="2"/>
      <c r="Q997" s="2"/>
    </row>
    <row r="998" spans="1:17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3"/>
      <c r="M998" s="3"/>
      <c r="N998" s="2"/>
      <c r="O998" s="2"/>
      <c r="P998" s="2"/>
      <c r="Q998" s="2"/>
    </row>
    <row r="999" spans="1:17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3"/>
      <c r="M999" s="3"/>
      <c r="N999" s="2"/>
      <c r="O999" s="2"/>
      <c r="P999" s="2"/>
      <c r="Q999" s="2"/>
    </row>
    <row r="1000" spans="1:17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3"/>
      <c r="M1000" s="3"/>
      <c r="N1000" s="2"/>
      <c r="O1000" s="2"/>
      <c r="P1000" s="2"/>
      <c r="Q1000" s="2"/>
    </row>
    <row r="1001" spans="1:17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3"/>
      <c r="M1001" s="3"/>
      <c r="N1001" s="2"/>
      <c r="O1001" s="2"/>
      <c r="P1001" s="2"/>
      <c r="Q1001" s="2"/>
    </row>
    <row r="1002" spans="1:17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3"/>
      <c r="M1002" s="3"/>
      <c r="N1002" s="2"/>
      <c r="O1002" s="2"/>
      <c r="P1002" s="2"/>
      <c r="Q1002" s="2"/>
    </row>
    <row r="1003" spans="1:17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3"/>
      <c r="M1003" s="3"/>
      <c r="N1003" s="2"/>
      <c r="O1003" s="2"/>
      <c r="P1003" s="2"/>
      <c r="Q1003" s="2"/>
    </row>
    <row r="1004" spans="1:17" ht="12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3"/>
      <c r="M1004" s="3"/>
      <c r="N1004" s="2"/>
      <c r="O1004" s="2"/>
      <c r="P1004" s="2"/>
      <c r="Q1004" s="2"/>
    </row>
    <row r="1005" spans="1:17" ht="12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3"/>
      <c r="M1005" s="3"/>
      <c r="N1005" s="2"/>
      <c r="O1005" s="2"/>
      <c r="P1005" s="2"/>
      <c r="Q1005" s="2"/>
    </row>
    <row r="1006" spans="1:17" ht="12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3"/>
      <c r="M1006" s="3"/>
      <c r="N1006" s="2"/>
      <c r="O1006" s="2"/>
      <c r="P1006" s="2"/>
      <c r="Q1006" s="2"/>
    </row>
    <row r="1007" spans="1:17" ht="12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3"/>
      <c r="M1007" s="3"/>
      <c r="N1007" s="2"/>
      <c r="O1007" s="2"/>
      <c r="P1007" s="2"/>
      <c r="Q1007" s="2"/>
    </row>
    <row r="1008" spans="1:17" ht="12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3"/>
      <c r="M1008" s="3"/>
      <c r="N1008" s="2"/>
      <c r="O1008" s="2"/>
      <c r="P1008" s="2"/>
      <c r="Q1008" s="2"/>
    </row>
    <row r="1009" spans="1:17" ht="12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3"/>
      <c r="M1009" s="3"/>
      <c r="N1009" s="2"/>
      <c r="O1009" s="2"/>
      <c r="P1009" s="2"/>
      <c r="Q1009" s="2"/>
    </row>
    <row r="1010" spans="1:17" ht="12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3"/>
      <c r="M1010" s="3"/>
      <c r="N1010" s="2"/>
      <c r="O1010" s="2"/>
      <c r="P1010" s="2"/>
      <c r="Q1010" s="2"/>
    </row>
  </sheetData>
  <sheetProtection algorithmName="SHA-512" hashValue="5iW9GqdZ0/sP2eok02hV4BRmzDi/HAesvxTFKH6tRYzo7/5kKmR/Ck00JSllIFoUqQtIDwVFPyhh4hXBurZfDQ==" saltValue="SsYO0rFxPNJ+10OYQZPrgg==" spinCount="100000" sheet="1" objects="1" scenarios="1" selectLockedCells="1" selectUnlockedCells="1"/>
  <mergeCells count="13">
    <mergeCell ref="A10:B10"/>
    <mergeCell ref="A21:B21"/>
    <mergeCell ref="A30:B30"/>
    <mergeCell ref="A33:B33"/>
    <mergeCell ref="A2:K2"/>
    <mergeCell ref="A3:K3"/>
    <mergeCell ref="A5:K5"/>
    <mergeCell ref="A7:F8"/>
    <mergeCell ref="G7:H7"/>
    <mergeCell ref="I7:I8"/>
    <mergeCell ref="J7:J8"/>
    <mergeCell ref="K7:K8"/>
    <mergeCell ref="A4:K4"/>
  </mergeCells>
  <pageMargins left="1" right="1" top="1.25" bottom="1" header="0" footer="0.5"/>
  <pageSetup scale="70" firstPageNumber="121" fitToHeight="0" orientation="landscape" useFirstPageNumber="1" r:id="rId1"/>
  <headerFooter scaleWithDoc="0"/>
  <rowBreaks count="1" manualBreakCount="1">
    <brk id="46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1001"/>
  <sheetViews>
    <sheetView showGridLines="0" zoomScaleNormal="100" workbookViewId="0"/>
  </sheetViews>
  <sheetFormatPr defaultColWidth="14.44140625" defaultRowHeight="15" customHeight="1"/>
  <cols>
    <col min="1" max="1" width="3" style="1" customWidth="1"/>
    <col min="2" max="2" width="2" style="1" customWidth="1"/>
    <col min="3" max="3" width="3.33203125" style="1" customWidth="1"/>
    <col min="4" max="4" width="2.5546875" style="1" customWidth="1"/>
    <col min="5" max="5" width="3" style="1" customWidth="1"/>
    <col min="6" max="6" width="39.33203125" style="1" customWidth="1"/>
    <col min="7" max="11" width="20.6640625" style="1" customWidth="1"/>
    <col min="12" max="16" width="16.88671875" style="1" customWidth="1"/>
    <col min="17" max="22" width="9.109375" style="1" customWidth="1"/>
    <col min="23" max="16384" width="14.44140625" style="1"/>
  </cols>
  <sheetData>
    <row r="1" spans="1:16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115" t="s">
        <v>125</v>
      </c>
      <c r="L1" s="2"/>
      <c r="M1" s="2"/>
      <c r="N1" s="2"/>
      <c r="O1" s="2"/>
      <c r="P1" s="2"/>
    </row>
    <row r="2" spans="1:16" ht="12.75" customHeight="1">
      <c r="A2" s="130" t="s">
        <v>25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4"/>
      <c r="M2" s="4"/>
      <c r="N2" s="4"/>
      <c r="O2" s="4"/>
      <c r="P2" s="4"/>
    </row>
    <row r="3" spans="1:16" ht="12.75" customHeight="1">
      <c r="A3" s="130" t="s">
        <v>126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4"/>
      <c r="M3" s="4"/>
      <c r="N3" s="4"/>
      <c r="O3" s="4"/>
      <c r="P3" s="4"/>
    </row>
    <row r="4" spans="1:16" ht="12.75" customHeight="1">
      <c r="A4" s="127" t="s">
        <v>382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4"/>
      <c r="M4" s="4"/>
      <c r="N4" s="4"/>
      <c r="O4" s="4"/>
      <c r="P4" s="4"/>
    </row>
    <row r="5" spans="1:16" ht="12.75" customHeight="1">
      <c r="A5" s="127" t="s">
        <v>66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4"/>
      <c r="M5" s="4"/>
      <c r="N5" s="4"/>
      <c r="O5" s="4"/>
      <c r="P5" s="4"/>
    </row>
    <row r="6" spans="1:16" ht="12.75" customHeight="1">
      <c r="A6" s="9"/>
      <c r="L6" s="4"/>
      <c r="M6" s="4"/>
      <c r="N6" s="4"/>
      <c r="O6" s="4"/>
      <c r="P6" s="4"/>
    </row>
    <row r="7" spans="1:16" ht="12.75" customHeight="1">
      <c r="A7" s="132" t="s">
        <v>67</v>
      </c>
      <c r="B7" s="133"/>
      <c r="C7" s="133"/>
      <c r="D7" s="133"/>
      <c r="E7" s="133"/>
      <c r="F7" s="133"/>
      <c r="G7" s="135" t="s">
        <v>68</v>
      </c>
      <c r="H7" s="133"/>
      <c r="I7" s="132" t="s">
        <v>69</v>
      </c>
      <c r="J7" s="132" t="s">
        <v>70</v>
      </c>
      <c r="K7" s="132" t="s">
        <v>71</v>
      </c>
      <c r="L7" s="6"/>
      <c r="M7" s="6"/>
      <c r="N7" s="6"/>
      <c r="O7" s="6"/>
      <c r="P7" s="6"/>
    </row>
    <row r="8" spans="1:16" ht="24" customHeight="1">
      <c r="A8" s="134"/>
      <c r="B8" s="134"/>
      <c r="C8" s="134"/>
      <c r="D8" s="134"/>
      <c r="E8" s="134"/>
      <c r="F8" s="134"/>
      <c r="G8" s="8" t="s">
        <v>72</v>
      </c>
      <c r="H8" s="8" t="s">
        <v>73</v>
      </c>
      <c r="I8" s="134"/>
      <c r="J8" s="134"/>
      <c r="K8" s="134"/>
      <c r="L8" s="6"/>
      <c r="M8" s="6"/>
      <c r="N8" s="6"/>
      <c r="O8" s="6"/>
      <c r="P8" s="6"/>
    </row>
    <row r="9" spans="1:16" ht="12.75" customHeight="1">
      <c r="A9" s="4" t="s">
        <v>74</v>
      </c>
      <c r="B9" s="2"/>
      <c r="C9" s="2"/>
      <c r="D9" s="2"/>
      <c r="E9" s="2"/>
      <c r="F9" s="2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ht="12" customHeight="1">
      <c r="A10" s="127" t="s">
        <v>75</v>
      </c>
      <c r="B10" s="128"/>
      <c r="C10" s="2" t="s">
        <v>76</v>
      </c>
      <c r="D10" s="2"/>
      <c r="E10" s="2"/>
      <c r="F10" s="2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ht="12.75" customHeight="1">
      <c r="A11" s="2"/>
      <c r="B11" s="2"/>
      <c r="C11" s="2" t="s">
        <v>77</v>
      </c>
      <c r="D11" s="2" t="s">
        <v>28</v>
      </c>
      <c r="E11" s="2"/>
      <c r="F11" s="2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ht="12.75" customHeight="1">
      <c r="A12" s="2"/>
      <c r="B12" s="2"/>
      <c r="C12" s="2"/>
      <c r="D12" s="2"/>
      <c r="E12" s="2" t="s">
        <v>78</v>
      </c>
      <c r="F12" s="2" t="s">
        <v>79</v>
      </c>
      <c r="G12" s="9">
        <v>2440000000</v>
      </c>
      <c r="H12" s="9">
        <v>2440000000</v>
      </c>
      <c r="I12" s="9">
        <f>+G12-H12</f>
        <v>0</v>
      </c>
      <c r="J12" s="2">
        <v>2178317604.9699998</v>
      </c>
      <c r="K12" s="9">
        <f>+H12-J12</f>
        <v>261682395.03000021</v>
      </c>
      <c r="L12" s="9"/>
      <c r="M12" s="9"/>
      <c r="N12" s="9"/>
      <c r="O12" s="9"/>
      <c r="P12" s="9"/>
    </row>
    <row r="13" spans="1:16" ht="12.75" customHeight="1">
      <c r="A13" s="2"/>
      <c r="B13" s="2"/>
      <c r="C13" s="2"/>
      <c r="D13" s="2"/>
      <c r="E13" s="2" t="s">
        <v>80</v>
      </c>
      <c r="F13" s="2" t="s">
        <v>83</v>
      </c>
      <c r="G13" s="9"/>
      <c r="H13" s="9"/>
      <c r="I13" s="9">
        <f>+G13-H13</f>
        <v>0</v>
      </c>
      <c r="J13" s="2">
        <v>74690653.060000002</v>
      </c>
      <c r="K13" s="9">
        <f>+H13-J13</f>
        <v>-74690653.060000002</v>
      </c>
      <c r="L13" s="9"/>
      <c r="M13" s="9"/>
      <c r="N13" s="9"/>
      <c r="O13" s="9"/>
      <c r="P13" s="9"/>
    </row>
    <row r="14" spans="1:16" ht="12.75" customHeight="1">
      <c r="A14" s="116"/>
      <c r="B14" s="116"/>
      <c r="C14" s="116"/>
      <c r="D14" s="116" t="s">
        <v>84</v>
      </c>
      <c r="E14" s="116"/>
      <c r="F14" s="116"/>
      <c r="G14" s="121">
        <f>SUM(G12:G13)</f>
        <v>2440000000</v>
      </c>
      <c r="H14" s="11">
        <f t="shared" ref="H14:K14" si="0">SUM(H12:H13)</f>
        <v>2440000000</v>
      </c>
      <c r="I14" s="11">
        <f t="shared" si="0"/>
        <v>0</v>
      </c>
      <c r="J14" s="11">
        <f t="shared" si="0"/>
        <v>2253008258.0299997</v>
      </c>
      <c r="K14" s="11">
        <f t="shared" si="0"/>
        <v>186991741.97000021</v>
      </c>
      <c r="L14" s="12"/>
      <c r="M14" s="12"/>
      <c r="N14" s="12"/>
      <c r="O14" s="12"/>
      <c r="P14" s="12"/>
    </row>
    <row r="15" spans="1:16" ht="12.75" customHeight="1">
      <c r="A15" s="2"/>
      <c r="B15" s="2"/>
      <c r="C15" s="2" t="s">
        <v>85</v>
      </c>
      <c r="D15" s="2" t="s">
        <v>86</v>
      </c>
      <c r="E15" s="2"/>
      <c r="F15" s="2"/>
      <c r="G15" s="9"/>
      <c r="H15" s="9"/>
      <c r="I15" s="9"/>
      <c r="J15" s="2"/>
      <c r="K15" s="9"/>
      <c r="L15" s="9"/>
      <c r="M15" s="9"/>
      <c r="N15" s="9"/>
      <c r="O15" s="9"/>
      <c r="P15" s="9"/>
    </row>
    <row r="16" spans="1:16" ht="12.75" customHeight="1">
      <c r="A16" s="2"/>
      <c r="B16" s="2"/>
      <c r="C16" s="2"/>
      <c r="D16" s="2"/>
      <c r="E16" s="2" t="s">
        <v>78</v>
      </c>
      <c r="F16" s="2" t="s">
        <v>88</v>
      </c>
      <c r="G16" s="9">
        <v>0</v>
      </c>
      <c r="H16" s="9">
        <v>0</v>
      </c>
      <c r="I16" s="9">
        <f>+G16-H16</f>
        <v>0</v>
      </c>
      <c r="J16" s="2">
        <v>11222392.74</v>
      </c>
      <c r="K16" s="9">
        <f>+H16-J16</f>
        <v>-11222392.74</v>
      </c>
      <c r="L16" s="9"/>
      <c r="M16" s="9"/>
      <c r="N16" s="9"/>
      <c r="O16" s="9"/>
      <c r="P16" s="9"/>
    </row>
    <row r="17" spans="1:16" ht="12.75" customHeight="1">
      <c r="A17" s="116"/>
      <c r="B17" s="116"/>
      <c r="C17" s="116"/>
      <c r="D17" s="116" t="s">
        <v>90</v>
      </c>
      <c r="E17" s="116"/>
      <c r="F17" s="116"/>
      <c r="G17" s="121">
        <f>SUM(G16)</f>
        <v>0</v>
      </c>
      <c r="H17" s="11">
        <f t="shared" ref="H17:K17" si="1">SUM(H16)</f>
        <v>0</v>
      </c>
      <c r="I17" s="11">
        <f t="shared" si="1"/>
        <v>0</v>
      </c>
      <c r="J17" s="11">
        <f>SUM(J16)</f>
        <v>11222392.74</v>
      </c>
      <c r="K17" s="11">
        <f t="shared" si="1"/>
        <v>-11222392.74</v>
      </c>
      <c r="L17" s="12"/>
      <c r="M17" s="12"/>
      <c r="N17" s="12"/>
      <c r="O17" s="12"/>
      <c r="P17" s="12"/>
    </row>
    <row r="18" spans="1:16" ht="12.75" hidden="1" customHeight="1">
      <c r="A18" s="2"/>
      <c r="B18" s="2"/>
      <c r="C18" s="2" t="s">
        <v>96</v>
      </c>
      <c r="D18" s="2" t="s">
        <v>127</v>
      </c>
      <c r="E18" s="2"/>
      <c r="F18" s="2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12.75" hidden="1" customHeight="1">
      <c r="A19" s="2"/>
      <c r="B19" s="2"/>
      <c r="C19" s="2"/>
      <c r="D19" s="2" t="s">
        <v>78</v>
      </c>
      <c r="E19" s="2" t="s">
        <v>128</v>
      </c>
      <c r="F19" s="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/>
      <c r="M19" s="9"/>
      <c r="N19" s="9"/>
      <c r="O19" s="9"/>
      <c r="P19" s="9"/>
    </row>
    <row r="20" spans="1:16" ht="12.75" hidden="1" customHeight="1">
      <c r="A20" s="2"/>
      <c r="B20" s="2"/>
      <c r="C20" s="2"/>
      <c r="D20" s="2" t="s">
        <v>80</v>
      </c>
      <c r="E20" s="2" t="s">
        <v>129</v>
      </c>
      <c r="F20" s="2"/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/>
      <c r="M20" s="9"/>
      <c r="N20" s="9"/>
      <c r="O20" s="9"/>
      <c r="P20" s="9"/>
    </row>
    <row r="21" spans="1:16" ht="12.75" hidden="1" customHeight="1">
      <c r="A21" s="2"/>
      <c r="B21" s="2"/>
      <c r="C21" s="2"/>
      <c r="D21" s="2" t="s">
        <v>82</v>
      </c>
      <c r="E21" s="2" t="s">
        <v>130</v>
      </c>
      <c r="F21" s="2"/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/>
      <c r="M21" s="9"/>
      <c r="N21" s="9"/>
      <c r="O21" s="9"/>
      <c r="P21" s="9"/>
    </row>
    <row r="22" spans="1:16" ht="12.75" hidden="1" customHeight="1">
      <c r="A22" s="2"/>
      <c r="B22" s="2"/>
      <c r="C22" s="2"/>
      <c r="D22" s="2" t="s">
        <v>131</v>
      </c>
      <c r="E22" s="2" t="s">
        <v>132</v>
      </c>
      <c r="F22" s="2"/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/>
      <c r="M22" s="9"/>
      <c r="N22" s="9"/>
      <c r="O22" s="9"/>
      <c r="P22" s="9"/>
    </row>
    <row r="23" spans="1:16" ht="12.75" hidden="1" customHeight="1">
      <c r="A23" s="2"/>
      <c r="B23" s="2"/>
      <c r="C23" s="2" t="s">
        <v>133</v>
      </c>
      <c r="D23" s="2" t="s">
        <v>10</v>
      </c>
      <c r="E23" s="2"/>
      <c r="F23" s="2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ht="12.75" hidden="1" customHeight="1">
      <c r="A24" s="2"/>
      <c r="B24" s="2"/>
      <c r="C24" s="2"/>
      <c r="D24" s="2" t="s">
        <v>78</v>
      </c>
      <c r="E24" s="2" t="s">
        <v>94</v>
      </c>
      <c r="F24" s="2"/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/>
      <c r="M24" s="9"/>
      <c r="N24" s="9"/>
      <c r="O24" s="9"/>
      <c r="P24" s="9"/>
    </row>
    <row r="25" spans="1:16" ht="12.75" hidden="1" customHeight="1">
      <c r="A25" s="2"/>
      <c r="B25" s="2"/>
      <c r="C25" s="2"/>
      <c r="D25" s="2" t="s">
        <v>80</v>
      </c>
      <c r="E25" s="2" t="s">
        <v>95</v>
      </c>
      <c r="F25" s="2"/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/>
      <c r="M25" s="9"/>
      <c r="N25" s="9"/>
      <c r="O25" s="9"/>
      <c r="P25" s="9"/>
    </row>
    <row r="26" spans="1:16" ht="12.75" hidden="1" customHeight="1">
      <c r="A26" s="2"/>
      <c r="B26" s="2"/>
      <c r="C26" s="2" t="s">
        <v>134</v>
      </c>
      <c r="D26" s="2" t="s">
        <v>135</v>
      </c>
      <c r="E26" s="2"/>
      <c r="F26" s="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/>
      <c r="M26" s="9"/>
      <c r="N26" s="9"/>
      <c r="O26" s="9"/>
      <c r="P26" s="9"/>
    </row>
    <row r="27" spans="1:16" ht="12.75" hidden="1" customHeight="1">
      <c r="A27" s="2"/>
      <c r="B27" s="2"/>
      <c r="C27" s="2" t="s">
        <v>136</v>
      </c>
      <c r="D27" s="2" t="s">
        <v>97</v>
      </c>
      <c r="E27" s="2"/>
      <c r="F27" s="2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ht="12.75" hidden="1" customHeight="1">
      <c r="A28" s="2"/>
      <c r="B28" s="2"/>
      <c r="C28" s="2"/>
      <c r="D28" s="2" t="s">
        <v>78</v>
      </c>
      <c r="E28" s="2" t="s">
        <v>98</v>
      </c>
      <c r="F28" s="2"/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/>
      <c r="M28" s="9"/>
      <c r="N28" s="9"/>
      <c r="O28" s="9"/>
      <c r="P28" s="9"/>
    </row>
    <row r="29" spans="1:16" ht="12.75" hidden="1" customHeight="1">
      <c r="A29" s="2"/>
      <c r="B29" s="2"/>
      <c r="C29" s="2"/>
      <c r="D29" s="2" t="s">
        <v>80</v>
      </c>
      <c r="E29" s="2" t="s">
        <v>99</v>
      </c>
      <c r="F29" s="2"/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/>
      <c r="M29" s="9"/>
      <c r="N29" s="9"/>
      <c r="O29" s="9"/>
      <c r="P29" s="9"/>
    </row>
    <row r="30" spans="1:16" ht="12.75" hidden="1" customHeight="1">
      <c r="A30" s="2"/>
      <c r="B30" s="2"/>
      <c r="C30" s="2"/>
      <c r="D30" s="2" t="s">
        <v>82</v>
      </c>
      <c r="E30" s="2" t="s">
        <v>100</v>
      </c>
      <c r="F30" s="2"/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/>
      <c r="M30" s="9"/>
      <c r="N30" s="9"/>
      <c r="O30" s="9"/>
      <c r="P30" s="9"/>
    </row>
    <row r="31" spans="1:16" ht="12.75" customHeight="1">
      <c r="A31" s="127" t="s">
        <v>91</v>
      </c>
      <c r="B31" s="128"/>
      <c r="C31" s="2" t="s">
        <v>106</v>
      </c>
      <c r="D31" s="2"/>
      <c r="E31" s="2"/>
      <c r="F31" s="2"/>
      <c r="G31" s="9">
        <v>116546510</v>
      </c>
      <c r="H31" s="9">
        <v>206446510</v>
      </c>
      <c r="I31" s="9">
        <f t="shared" ref="I31" si="2">+G31-H31</f>
        <v>-89900000</v>
      </c>
      <c r="J31" s="9">
        <v>0</v>
      </c>
      <c r="K31" s="9">
        <v>206446510</v>
      </c>
      <c r="L31" s="9"/>
      <c r="M31" s="9"/>
      <c r="N31" s="9"/>
      <c r="O31" s="9"/>
      <c r="P31" s="9"/>
    </row>
    <row r="32" spans="1:16" ht="12.75" customHeight="1">
      <c r="A32" s="136"/>
      <c r="B32" s="134"/>
      <c r="C32" s="2"/>
      <c r="D32" s="2"/>
      <c r="E32" s="2"/>
      <c r="F32" s="2"/>
      <c r="G32" s="9"/>
      <c r="H32" s="9"/>
      <c r="I32" s="9"/>
      <c r="J32" s="2"/>
      <c r="K32" s="9"/>
      <c r="L32" s="9"/>
      <c r="M32" s="9"/>
      <c r="N32" s="9"/>
      <c r="O32" s="9"/>
      <c r="P32" s="9"/>
    </row>
    <row r="33" spans="1:22" ht="12.75" customHeight="1">
      <c r="A33" s="18" t="s">
        <v>107</v>
      </c>
      <c r="B33" s="18"/>
      <c r="C33" s="18"/>
      <c r="D33" s="18"/>
      <c r="E33" s="18"/>
      <c r="F33" s="18"/>
      <c r="G33" s="11">
        <f>G14+G17+G31</f>
        <v>2556546510</v>
      </c>
      <c r="H33" s="11">
        <f>H14+H17+H31</f>
        <v>2646446510</v>
      </c>
      <c r="I33" s="11">
        <f>I14+I17+I31</f>
        <v>-89900000</v>
      </c>
      <c r="J33" s="11">
        <f>J14+J17+J31</f>
        <v>2264230650.7699995</v>
      </c>
      <c r="K33" s="11">
        <f>K14+K17+K31</f>
        <v>382215859.2300002</v>
      </c>
      <c r="L33" s="12"/>
      <c r="M33" s="12"/>
      <c r="N33" s="12"/>
      <c r="O33" s="12"/>
      <c r="P33" s="12"/>
      <c r="Q33" s="19"/>
      <c r="R33" s="19"/>
      <c r="S33" s="19"/>
      <c r="T33" s="19"/>
      <c r="U33" s="19"/>
      <c r="V33" s="19"/>
    </row>
    <row r="34" spans="1:22" ht="12.75" customHeight="1">
      <c r="A34" s="4"/>
      <c r="B34" s="4"/>
      <c r="C34" s="4"/>
      <c r="D34" s="4"/>
      <c r="E34" s="4"/>
      <c r="F34" s="4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9"/>
      <c r="R34" s="19"/>
      <c r="S34" s="19"/>
      <c r="T34" s="19"/>
      <c r="U34" s="19"/>
      <c r="V34" s="19"/>
    </row>
    <row r="35" spans="1:22" ht="12.75" customHeight="1">
      <c r="A35" s="4" t="s">
        <v>108</v>
      </c>
      <c r="B35" s="4"/>
      <c r="C35" s="2"/>
      <c r="D35" s="2"/>
      <c r="E35" s="2"/>
      <c r="F35" s="2"/>
      <c r="G35" s="9"/>
      <c r="H35" s="9"/>
      <c r="I35" s="9"/>
      <c r="J35" s="2"/>
      <c r="K35" s="9"/>
      <c r="L35" s="9"/>
      <c r="M35" s="9"/>
      <c r="N35" s="9"/>
      <c r="O35" s="9"/>
      <c r="P35" s="9"/>
    </row>
    <row r="36" spans="1:22" ht="12.75" customHeight="1">
      <c r="A36" s="4" t="s">
        <v>109</v>
      </c>
      <c r="B36" s="2"/>
      <c r="C36" s="2"/>
      <c r="D36" s="2"/>
      <c r="E36" s="2"/>
      <c r="F36" s="2"/>
      <c r="G36" s="9"/>
      <c r="H36" s="9"/>
      <c r="I36" s="9"/>
      <c r="J36" s="2"/>
      <c r="K36" s="9"/>
      <c r="L36" s="9"/>
      <c r="M36" s="9"/>
      <c r="N36" s="9"/>
      <c r="O36" s="9"/>
      <c r="P36" s="9"/>
    </row>
    <row r="37" spans="1:22" ht="12.75" hidden="1" customHeight="1">
      <c r="A37" s="4"/>
      <c r="B37" s="4" t="s">
        <v>110</v>
      </c>
      <c r="C37" s="2"/>
      <c r="D37" s="2"/>
      <c r="E37" s="2"/>
      <c r="F37" s="2"/>
      <c r="G37" s="9"/>
      <c r="H37" s="9"/>
      <c r="I37" s="9"/>
      <c r="J37" s="2"/>
      <c r="K37" s="9"/>
      <c r="L37" s="9"/>
      <c r="M37" s="9"/>
      <c r="N37" s="9"/>
      <c r="O37" s="9"/>
      <c r="P37" s="9"/>
    </row>
    <row r="38" spans="1:22" ht="12.75" hidden="1" customHeight="1">
      <c r="A38" s="2"/>
      <c r="B38" s="2"/>
      <c r="C38" s="2"/>
      <c r="D38" s="2" t="s">
        <v>111</v>
      </c>
      <c r="E38" s="2"/>
      <c r="F38" s="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/>
      <c r="M38" s="9"/>
      <c r="N38" s="9"/>
      <c r="O38" s="9"/>
      <c r="P38" s="9"/>
    </row>
    <row r="39" spans="1:22" ht="12.75" hidden="1" customHeight="1">
      <c r="A39" s="2"/>
      <c r="B39" s="2"/>
      <c r="C39" s="2"/>
      <c r="D39" s="2" t="s">
        <v>31</v>
      </c>
      <c r="E39" s="2"/>
      <c r="F39" s="2"/>
      <c r="G39" s="9">
        <v>0</v>
      </c>
      <c r="H39" s="9">
        <v>0</v>
      </c>
      <c r="I39" s="9">
        <v>0</v>
      </c>
      <c r="J39" s="2">
        <v>0</v>
      </c>
      <c r="K39" s="9">
        <v>0</v>
      </c>
      <c r="L39" s="9"/>
      <c r="M39" s="9"/>
      <c r="N39" s="9"/>
      <c r="O39" s="9"/>
      <c r="P39" s="9"/>
    </row>
    <row r="40" spans="1:22" ht="12.75" hidden="1" customHeight="1">
      <c r="A40" s="2"/>
      <c r="B40" s="2"/>
      <c r="C40" s="2"/>
      <c r="D40" s="2" t="s">
        <v>112</v>
      </c>
      <c r="E40" s="2"/>
      <c r="F40" s="2"/>
      <c r="G40" s="9"/>
      <c r="H40" s="9">
        <v>0</v>
      </c>
      <c r="I40" s="9">
        <v>0</v>
      </c>
      <c r="J40" s="9">
        <v>0</v>
      </c>
      <c r="K40" s="9">
        <v>0</v>
      </c>
      <c r="L40" s="9"/>
      <c r="M40" s="9"/>
      <c r="N40" s="9"/>
      <c r="O40" s="9"/>
      <c r="P40" s="9"/>
    </row>
    <row r="41" spans="1:22" ht="12.75" customHeight="1">
      <c r="A41" s="2"/>
      <c r="B41" s="4" t="s">
        <v>113</v>
      </c>
      <c r="C41" s="2"/>
      <c r="D41" s="2"/>
      <c r="E41" s="2"/>
      <c r="F41" s="2"/>
      <c r="G41" s="9"/>
      <c r="H41" s="9"/>
      <c r="I41" s="9"/>
      <c r="J41" s="2"/>
      <c r="K41" s="9"/>
      <c r="L41" s="9"/>
      <c r="M41" s="9"/>
      <c r="N41" s="9"/>
      <c r="O41" s="9"/>
      <c r="P41" s="9"/>
    </row>
    <row r="42" spans="1:22" ht="12.75" customHeight="1">
      <c r="A42" s="2"/>
      <c r="B42" s="2"/>
      <c r="C42" s="2"/>
      <c r="D42" s="2" t="s">
        <v>31</v>
      </c>
      <c r="E42" s="2"/>
      <c r="F42" s="2"/>
      <c r="G42" s="9">
        <v>1006576510</v>
      </c>
      <c r="H42" s="9">
        <v>1031976510</v>
      </c>
      <c r="I42" s="9">
        <f t="shared" ref="I42:I43" si="3">+G42-H42</f>
        <v>-25400000</v>
      </c>
      <c r="J42" s="9">
        <v>303383425.04000008</v>
      </c>
      <c r="K42" s="9">
        <f t="shared" ref="K42:K43" si="4">+H42-J42</f>
        <v>728593084.95999992</v>
      </c>
      <c r="L42" s="9"/>
      <c r="M42" s="9"/>
      <c r="N42" s="9"/>
      <c r="O42" s="9"/>
      <c r="P42" s="9"/>
    </row>
    <row r="43" spans="1:22" ht="12.75" customHeight="1">
      <c r="A43" s="2"/>
      <c r="B43" s="2"/>
      <c r="C43" s="2"/>
      <c r="D43" s="2" t="s">
        <v>112</v>
      </c>
      <c r="E43" s="2"/>
      <c r="F43" s="2"/>
      <c r="G43" s="9">
        <v>1549970000</v>
      </c>
      <c r="H43" s="9">
        <v>1614470000</v>
      </c>
      <c r="I43" s="9">
        <f t="shared" si="3"/>
        <v>-64500000</v>
      </c>
      <c r="J43" s="9">
        <v>49296785.969999999</v>
      </c>
      <c r="K43" s="9">
        <f t="shared" si="4"/>
        <v>1565173214.03</v>
      </c>
      <c r="L43" s="9"/>
      <c r="M43" s="9"/>
      <c r="N43" s="9"/>
      <c r="O43" s="9"/>
      <c r="P43" s="9"/>
    </row>
    <row r="44" spans="1:22" ht="12.75" hidden="1" customHeight="1">
      <c r="A44" s="2"/>
      <c r="B44" s="4" t="s">
        <v>137</v>
      </c>
      <c r="C44" s="2"/>
      <c r="D44" s="2"/>
      <c r="E44" s="2"/>
      <c r="F44" s="2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22" ht="15" hidden="1" customHeight="1">
      <c r="A45" s="2"/>
      <c r="B45" s="2"/>
      <c r="C45" s="2"/>
      <c r="D45" s="2" t="s">
        <v>111</v>
      </c>
      <c r="E45" s="2"/>
      <c r="F45" s="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/>
      <c r="M45" s="9"/>
      <c r="N45" s="9"/>
      <c r="O45" s="9"/>
      <c r="P45" s="9"/>
    </row>
    <row r="46" spans="1:22" ht="12.75" hidden="1" customHeight="1">
      <c r="A46" s="2"/>
      <c r="B46" s="2"/>
      <c r="C46" s="2"/>
      <c r="D46" s="2" t="s">
        <v>31</v>
      </c>
      <c r="E46" s="2"/>
      <c r="F46" s="2"/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/>
      <c r="M46" s="9"/>
      <c r="N46" s="9"/>
      <c r="O46" s="9"/>
      <c r="P46" s="9"/>
    </row>
    <row r="47" spans="1:22" ht="12.75" hidden="1" customHeight="1">
      <c r="A47" s="2"/>
      <c r="B47" s="2"/>
      <c r="C47" s="2"/>
      <c r="D47" s="2" t="s">
        <v>112</v>
      </c>
      <c r="E47" s="2"/>
      <c r="F47" s="2"/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/>
      <c r="M47" s="9"/>
      <c r="N47" s="9"/>
      <c r="O47" s="9"/>
      <c r="P47" s="9"/>
    </row>
    <row r="48" spans="1:22" ht="12.75" hidden="1" customHeight="1">
      <c r="A48" s="2"/>
      <c r="B48" s="4" t="s">
        <v>138</v>
      </c>
      <c r="C48" s="2"/>
      <c r="D48" s="2"/>
      <c r="E48" s="2"/>
      <c r="F48" s="2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12.75" hidden="1" customHeight="1">
      <c r="A49" s="2"/>
      <c r="B49" s="2"/>
      <c r="C49" s="2"/>
      <c r="D49" s="2" t="s">
        <v>111</v>
      </c>
      <c r="E49" s="2"/>
      <c r="F49" s="2"/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/>
      <c r="M49" s="9"/>
      <c r="N49" s="9"/>
      <c r="O49" s="9"/>
      <c r="P49" s="9"/>
    </row>
    <row r="50" spans="1:16" ht="12.75" hidden="1" customHeight="1">
      <c r="A50" s="2"/>
      <c r="B50" s="2"/>
      <c r="C50" s="2"/>
      <c r="D50" s="2" t="s">
        <v>31</v>
      </c>
      <c r="E50" s="2"/>
      <c r="F50" s="2"/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/>
      <c r="M50" s="9"/>
      <c r="N50" s="9"/>
      <c r="O50" s="9"/>
      <c r="P50" s="9"/>
    </row>
    <row r="51" spans="1:16" ht="12.75" hidden="1" customHeight="1">
      <c r="A51" s="2"/>
      <c r="B51" s="2"/>
      <c r="C51" s="2"/>
      <c r="D51" s="2" t="s">
        <v>112</v>
      </c>
      <c r="E51" s="2"/>
      <c r="F51" s="2"/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/>
      <c r="M51" s="9"/>
      <c r="N51" s="9"/>
      <c r="O51" s="9"/>
      <c r="P51" s="9"/>
    </row>
    <row r="52" spans="1:16" ht="12.75" hidden="1" customHeight="1">
      <c r="A52" s="2"/>
      <c r="B52" s="4" t="s">
        <v>139</v>
      </c>
      <c r="C52" s="2"/>
      <c r="D52" s="2"/>
      <c r="E52" s="2"/>
      <c r="F52" s="2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12.75" hidden="1" customHeight="1">
      <c r="A53" s="2"/>
      <c r="B53" s="2"/>
      <c r="C53" s="2"/>
      <c r="D53" s="2" t="s">
        <v>111</v>
      </c>
      <c r="E53" s="2"/>
      <c r="F53" s="2"/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/>
      <c r="M53" s="9"/>
      <c r="N53" s="9"/>
      <c r="O53" s="9"/>
      <c r="P53" s="9"/>
    </row>
    <row r="54" spans="1:16" ht="12.75" hidden="1" customHeight="1">
      <c r="A54" s="2"/>
      <c r="B54" s="2"/>
      <c r="C54" s="2"/>
      <c r="D54" s="2" t="s">
        <v>31</v>
      </c>
      <c r="E54" s="2"/>
      <c r="F54" s="2"/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/>
      <c r="M54" s="9"/>
      <c r="N54" s="9"/>
      <c r="O54" s="9"/>
      <c r="P54" s="9"/>
    </row>
    <row r="55" spans="1:16" ht="12.75" hidden="1" customHeight="1">
      <c r="A55" s="2"/>
      <c r="B55" s="2"/>
      <c r="C55" s="2"/>
      <c r="D55" s="2" t="s">
        <v>112</v>
      </c>
      <c r="E55" s="2"/>
      <c r="F55" s="2"/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/>
      <c r="M55" s="9"/>
      <c r="N55" s="9"/>
      <c r="O55" s="9"/>
      <c r="P55" s="9"/>
    </row>
    <row r="56" spans="1:16" ht="12.75" hidden="1" customHeight="1">
      <c r="A56" s="2"/>
      <c r="B56" s="4" t="s">
        <v>113</v>
      </c>
      <c r="C56" s="2"/>
      <c r="D56" s="2"/>
      <c r="E56" s="2"/>
      <c r="F56" s="2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12.75" hidden="1" customHeight="1">
      <c r="A57" s="2"/>
      <c r="B57" s="2"/>
      <c r="C57" s="2"/>
      <c r="D57" s="2" t="s">
        <v>111</v>
      </c>
      <c r="E57" s="2"/>
      <c r="F57" s="2"/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/>
      <c r="M57" s="9"/>
      <c r="N57" s="9"/>
      <c r="O57" s="9"/>
      <c r="P57" s="9"/>
    </row>
    <row r="58" spans="1:16" ht="12.75" hidden="1" customHeight="1">
      <c r="A58" s="2"/>
      <c r="B58" s="2"/>
      <c r="C58" s="2"/>
      <c r="D58" s="2" t="s">
        <v>31</v>
      </c>
      <c r="E58" s="2"/>
      <c r="F58" s="2"/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/>
      <c r="M58" s="9"/>
      <c r="N58" s="9"/>
      <c r="O58" s="9"/>
      <c r="P58" s="9"/>
    </row>
    <row r="59" spans="1:16" ht="12.75" hidden="1" customHeight="1">
      <c r="A59" s="2"/>
      <c r="B59" s="2"/>
      <c r="C59" s="2"/>
      <c r="D59" s="2" t="s">
        <v>112</v>
      </c>
      <c r="E59" s="2"/>
      <c r="F59" s="2"/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/>
      <c r="M59" s="9"/>
      <c r="N59" s="9"/>
      <c r="O59" s="9"/>
      <c r="P59" s="9"/>
    </row>
    <row r="60" spans="1:16" ht="12.75" hidden="1" customHeight="1">
      <c r="A60" s="2"/>
      <c r="B60" s="4" t="s">
        <v>114</v>
      </c>
      <c r="C60" s="2"/>
      <c r="D60" s="2"/>
      <c r="E60" s="2"/>
      <c r="F60" s="2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12.75" hidden="1" customHeight="1">
      <c r="A61" s="2"/>
      <c r="B61" s="2"/>
      <c r="C61" s="2"/>
      <c r="D61" s="2" t="s">
        <v>111</v>
      </c>
      <c r="E61" s="2"/>
      <c r="F61" s="2"/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/>
      <c r="M61" s="9"/>
      <c r="N61" s="9"/>
      <c r="O61" s="9"/>
      <c r="P61" s="9"/>
    </row>
    <row r="62" spans="1:16" ht="12.75" hidden="1" customHeight="1">
      <c r="A62" s="2"/>
      <c r="B62" s="2"/>
      <c r="C62" s="2"/>
      <c r="D62" s="2" t="s">
        <v>31</v>
      </c>
      <c r="E62" s="2"/>
      <c r="F62" s="2"/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/>
      <c r="M62" s="9"/>
      <c r="N62" s="9"/>
      <c r="O62" s="9"/>
      <c r="P62" s="9"/>
    </row>
    <row r="63" spans="1:16" ht="12.75" hidden="1" customHeight="1">
      <c r="A63" s="2"/>
      <c r="B63" s="2"/>
      <c r="C63" s="2"/>
      <c r="D63" s="2" t="s">
        <v>112</v>
      </c>
      <c r="E63" s="2"/>
      <c r="F63" s="2"/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/>
      <c r="M63" s="9"/>
      <c r="N63" s="9"/>
      <c r="O63" s="9"/>
      <c r="P63" s="9"/>
    </row>
    <row r="64" spans="1:16" ht="12.75" hidden="1" customHeight="1">
      <c r="A64" s="2"/>
      <c r="B64" s="4" t="s">
        <v>115</v>
      </c>
      <c r="C64" s="2"/>
      <c r="D64" s="2"/>
      <c r="E64" s="2"/>
      <c r="F64" s="2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12.75" hidden="1" customHeight="1">
      <c r="A65" s="2"/>
      <c r="B65" s="2"/>
      <c r="C65" s="2" t="s">
        <v>116</v>
      </c>
      <c r="D65" s="2"/>
      <c r="E65" s="2"/>
      <c r="F65" s="2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12.75" hidden="1" customHeight="1">
      <c r="A66" s="2"/>
      <c r="B66" s="2"/>
      <c r="C66" s="2"/>
      <c r="D66" s="2" t="s">
        <v>117</v>
      </c>
      <c r="E66" s="2"/>
      <c r="F66" s="2"/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/>
      <c r="M66" s="9"/>
      <c r="N66" s="9"/>
      <c r="O66" s="9"/>
      <c r="P66" s="9"/>
    </row>
    <row r="67" spans="1:16" ht="12.75" hidden="1" customHeight="1">
      <c r="A67" s="2"/>
      <c r="B67" s="2"/>
      <c r="C67" s="2"/>
      <c r="D67" s="2" t="s">
        <v>118</v>
      </c>
      <c r="E67" s="2"/>
      <c r="F67" s="2"/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/>
      <c r="M67" s="9"/>
      <c r="N67" s="9"/>
      <c r="O67" s="9"/>
      <c r="P67" s="9"/>
    </row>
    <row r="68" spans="1:16" ht="12.75" hidden="1" customHeight="1">
      <c r="A68" s="2"/>
      <c r="B68" s="2"/>
      <c r="C68" s="2" t="s">
        <v>119</v>
      </c>
      <c r="D68" s="2"/>
      <c r="E68" s="2"/>
      <c r="F68" s="2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12.75" hidden="1" customHeight="1">
      <c r="A69" s="2"/>
      <c r="B69" s="2"/>
      <c r="C69" s="2"/>
      <c r="D69" s="2" t="s">
        <v>31</v>
      </c>
      <c r="E69" s="2"/>
      <c r="F69" s="2"/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/>
      <c r="M69" s="9"/>
      <c r="N69" s="9"/>
      <c r="O69" s="9"/>
      <c r="P69" s="9"/>
    </row>
    <row r="70" spans="1:16" ht="12.75" hidden="1" customHeight="1">
      <c r="A70" s="2"/>
      <c r="B70" s="2"/>
      <c r="C70" s="2"/>
      <c r="D70" s="2" t="s">
        <v>112</v>
      </c>
      <c r="E70" s="2"/>
      <c r="F70" s="2"/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/>
      <c r="M70" s="9"/>
      <c r="N70" s="9"/>
      <c r="O70" s="9"/>
      <c r="P70" s="9"/>
    </row>
    <row r="71" spans="1:16" ht="12.75" hidden="1" customHeight="1">
      <c r="A71" s="2"/>
      <c r="B71" s="2"/>
      <c r="C71" s="2" t="s">
        <v>120</v>
      </c>
      <c r="D71" s="2"/>
      <c r="E71" s="2"/>
      <c r="F71" s="2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12.75" hidden="1" customHeight="1">
      <c r="A72" s="2"/>
      <c r="B72" s="2"/>
      <c r="C72" s="2"/>
      <c r="D72" s="2" t="s">
        <v>31</v>
      </c>
      <c r="E72" s="2"/>
      <c r="F72" s="2"/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/>
      <c r="M72" s="9"/>
      <c r="N72" s="9"/>
      <c r="O72" s="9"/>
      <c r="P72" s="9"/>
    </row>
    <row r="73" spans="1:16" ht="12.75" hidden="1" customHeight="1">
      <c r="A73" s="2"/>
      <c r="B73" s="2"/>
      <c r="C73" s="2"/>
      <c r="D73" s="2" t="s">
        <v>112</v>
      </c>
      <c r="E73" s="2"/>
      <c r="F73" s="2"/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/>
      <c r="M73" s="9"/>
      <c r="N73" s="9"/>
      <c r="O73" s="9"/>
      <c r="P73" s="9"/>
    </row>
    <row r="74" spans="1:16" ht="12.75" hidden="1" customHeight="1">
      <c r="A74" s="2"/>
      <c r="B74" s="2"/>
      <c r="C74" s="2" t="s">
        <v>130</v>
      </c>
      <c r="D74" s="2"/>
      <c r="E74" s="2"/>
      <c r="F74" s="2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12.75" hidden="1" customHeight="1">
      <c r="A75" s="2"/>
      <c r="B75" s="2"/>
      <c r="C75" s="2"/>
      <c r="D75" s="2" t="s">
        <v>31</v>
      </c>
      <c r="E75" s="2"/>
      <c r="F75" s="2"/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/>
      <c r="M75" s="9"/>
      <c r="N75" s="9"/>
      <c r="O75" s="9"/>
      <c r="P75" s="9"/>
    </row>
    <row r="76" spans="1:16" ht="12.75" hidden="1" customHeight="1">
      <c r="A76" s="2"/>
      <c r="B76" s="2"/>
      <c r="C76" s="2"/>
      <c r="D76" s="2" t="s">
        <v>112</v>
      </c>
      <c r="E76" s="2"/>
      <c r="F76" s="2"/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/>
      <c r="M76" s="9"/>
      <c r="N76" s="9"/>
      <c r="O76" s="9"/>
      <c r="P76" s="9"/>
    </row>
    <row r="77" spans="1:16" ht="12.75" hidden="1" customHeight="1">
      <c r="A77" s="2"/>
      <c r="B77" s="2"/>
      <c r="C77" s="2" t="s">
        <v>121</v>
      </c>
      <c r="D77" s="2"/>
      <c r="E77" s="2"/>
      <c r="F77" s="2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12.75" hidden="1" customHeight="1">
      <c r="A78" s="2"/>
      <c r="B78" s="2"/>
      <c r="C78" s="2"/>
      <c r="D78" s="2" t="s">
        <v>31</v>
      </c>
      <c r="E78" s="2"/>
      <c r="F78" s="2"/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/>
      <c r="M78" s="9"/>
      <c r="N78" s="9"/>
      <c r="O78" s="9"/>
      <c r="P78" s="9"/>
    </row>
    <row r="79" spans="1:16" ht="12.75" hidden="1" customHeight="1">
      <c r="A79" s="2"/>
      <c r="B79" s="2"/>
      <c r="C79" s="2"/>
      <c r="D79" s="2" t="s">
        <v>112</v>
      </c>
      <c r="E79" s="2"/>
      <c r="F79" s="2"/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/>
      <c r="M79" s="9"/>
      <c r="N79" s="9"/>
      <c r="O79" s="9"/>
      <c r="P79" s="9"/>
    </row>
    <row r="80" spans="1:16" ht="12.75" hidden="1" customHeight="1">
      <c r="A80" s="2"/>
      <c r="B80" s="2"/>
      <c r="C80" s="2" t="s">
        <v>122</v>
      </c>
      <c r="D80" s="2"/>
      <c r="E80" s="2"/>
      <c r="F80" s="2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22" ht="12.75" hidden="1" customHeight="1">
      <c r="A81" s="2"/>
      <c r="B81" s="2"/>
      <c r="C81" s="2"/>
      <c r="D81" s="2" t="s">
        <v>111</v>
      </c>
      <c r="E81" s="2"/>
      <c r="F81" s="2"/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/>
      <c r="M81" s="9"/>
      <c r="N81" s="9"/>
      <c r="O81" s="9"/>
      <c r="P81" s="9"/>
    </row>
    <row r="82" spans="1:22" ht="12.75" hidden="1" customHeight="1">
      <c r="A82" s="2"/>
      <c r="B82" s="2"/>
      <c r="C82" s="2"/>
      <c r="D82" s="2" t="s">
        <v>31</v>
      </c>
      <c r="E82" s="2"/>
      <c r="F82" s="2"/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/>
      <c r="M82" s="9"/>
      <c r="N82" s="9"/>
      <c r="O82" s="9"/>
      <c r="P82" s="9"/>
    </row>
    <row r="83" spans="1:22" ht="12.75" hidden="1" customHeight="1">
      <c r="A83" s="2"/>
      <c r="B83" s="2"/>
      <c r="C83" s="2"/>
      <c r="D83" s="2" t="s">
        <v>112</v>
      </c>
      <c r="E83" s="2"/>
      <c r="F83" s="2"/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/>
      <c r="M83" s="9"/>
      <c r="N83" s="9"/>
      <c r="O83" s="9"/>
      <c r="P83" s="9"/>
    </row>
    <row r="84" spans="1:22" ht="12.75" customHeight="1">
      <c r="A84" s="18"/>
      <c r="B84" s="18"/>
      <c r="C84" s="18" t="s">
        <v>123</v>
      </c>
      <c r="D84" s="18"/>
      <c r="E84" s="18"/>
      <c r="F84" s="18"/>
      <c r="G84" s="11">
        <f>+G42+G43</f>
        <v>2556546510</v>
      </c>
      <c r="H84" s="11">
        <f t="shared" ref="H84:K84" si="5">+H42+H43</f>
        <v>2646446510</v>
      </c>
      <c r="I84" s="11">
        <f t="shared" si="5"/>
        <v>-89900000</v>
      </c>
      <c r="J84" s="11">
        <f t="shared" si="5"/>
        <v>352680211.01000011</v>
      </c>
      <c r="K84" s="11">
        <f t="shared" si="5"/>
        <v>2293766298.9899998</v>
      </c>
      <c r="L84" s="12"/>
      <c r="M84" s="12"/>
      <c r="N84" s="12"/>
      <c r="O84" s="12"/>
      <c r="P84" s="12"/>
      <c r="Q84" s="19"/>
      <c r="R84" s="19"/>
      <c r="S84" s="19"/>
      <c r="T84" s="19"/>
      <c r="U84" s="19"/>
      <c r="V84" s="19"/>
    </row>
    <row r="85" spans="1:22" ht="12.75" customHeight="1">
      <c r="A85" s="2"/>
      <c r="B85" s="2"/>
      <c r="C85" s="2"/>
      <c r="D85" s="2"/>
      <c r="E85" s="2"/>
      <c r="F85" s="2"/>
      <c r="G85" s="12"/>
      <c r="H85" s="9"/>
      <c r="I85" s="9"/>
      <c r="J85" s="9"/>
      <c r="K85" s="9"/>
      <c r="L85" s="9"/>
      <c r="M85" s="9"/>
      <c r="N85" s="9"/>
      <c r="O85" s="9"/>
      <c r="P85" s="9"/>
    </row>
    <row r="86" spans="1:22" ht="12.75" customHeight="1">
      <c r="A86" s="2"/>
      <c r="B86" s="2"/>
      <c r="C86" s="2"/>
      <c r="D86" s="2"/>
      <c r="E86" s="2"/>
      <c r="F86" s="2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spans="1:22" ht="12.75" customHeight="1">
      <c r="A87" s="117" t="s">
        <v>124</v>
      </c>
      <c r="B87" s="118"/>
      <c r="C87" s="118"/>
      <c r="D87" s="118"/>
      <c r="E87" s="118"/>
      <c r="F87" s="118"/>
      <c r="G87" s="119">
        <f>+G84</f>
        <v>2556546510</v>
      </c>
      <c r="H87" s="119">
        <f t="shared" ref="H87:K87" si="6">+H84</f>
        <v>2646446510</v>
      </c>
      <c r="I87" s="119">
        <f t="shared" si="6"/>
        <v>-89900000</v>
      </c>
      <c r="J87" s="119">
        <f t="shared" si="6"/>
        <v>352680211.01000011</v>
      </c>
      <c r="K87" s="119">
        <f t="shared" si="6"/>
        <v>2293766298.9899998</v>
      </c>
      <c r="L87" s="9"/>
      <c r="M87" s="9"/>
      <c r="N87" s="9"/>
      <c r="O87" s="9"/>
      <c r="P87" s="9"/>
    </row>
    <row r="88" spans="1:22" ht="13.5" customHeight="1">
      <c r="A88" s="120" t="s">
        <v>27</v>
      </c>
      <c r="B88" s="116"/>
      <c r="C88" s="116"/>
      <c r="D88" s="116"/>
      <c r="E88" s="116"/>
      <c r="F88" s="116"/>
      <c r="G88" s="121">
        <f>G33-G87</f>
        <v>0</v>
      </c>
      <c r="H88" s="121">
        <f t="shared" ref="H88:J88" si="7">H33-H87</f>
        <v>0</v>
      </c>
      <c r="I88" s="121">
        <f t="shared" si="7"/>
        <v>0</v>
      </c>
      <c r="J88" s="121">
        <f t="shared" si="7"/>
        <v>1911550439.7599993</v>
      </c>
      <c r="K88" s="121">
        <f>K33-K87</f>
        <v>-1911550439.7599995</v>
      </c>
      <c r="L88" s="9"/>
      <c r="M88" s="9"/>
      <c r="N88" s="9"/>
      <c r="O88" s="9"/>
      <c r="P88" s="9"/>
    </row>
    <row r="89" spans="1:22" ht="13.5" customHeight="1">
      <c r="A89" s="2"/>
      <c r="B89" s="2"/>
      <c r="C89" s="2"/>
      <c r="D89" s="2"/>
      <c r="E89" s="2"/>
      <c r="F89" s="2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 spans="1:22" ht="12.75" customHeight="1">
      <c r="A90" s="2"/>
      <c r="B90" s="2"/>
      <c r="C90" s="2"/>
      <c r="D90" s="2"/>
      <c r="E90" s="2"/>
      <c r="F90" s="2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 spans="1:22" ht="12.75" customHeight="1">
      <c r="A91" s="2"/>
      <c r="B91" s="2"/>
      <c r="C91" s="2"/>
      <c r="D91" s="2"/>
      <c r="E91" s="2"/>
      <c r="F91" s="2"/>
      <c r="G91" s="9"/>
      <c r="H91" s="9"/>
      <c r="I91" s="9"/>
      <c r="J91" s="9"/>
      <c r="K91" s="9"/>
      <c r="L91" s="9"/>
      <c r="M91" s="9"/>
      <c r="N91" s="9"/>
      <c r="O91" s="9"/>
      <c r="P91" s="9"/>
    </row>
    <row r="92" spans="1:22" ht="12.75" customHeight="1">
      <c r="A92" s="2"/>
      <c r="B92" s="2"/>
      <c r="C92" s="2"/>
      <c r="D92" s="2"/>
      <c r="E92" s="2"/>
      <c r="F92" s="2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 spans="1:22" ht="12.75" customHeight="1">
      <c r="A93" s="2"/>
      <c r="B93" s="2"/>
      <c r="C93" s="2"/>
      <c r="D93" s="2"/>
      <c r="E93" s="2"/>
      <c r="F93" s="2"/>
      <c r="G93" s="9"/>
      <c r="H93" s="9"/>
      <c r="I93" s="9"/>
      <c r="J93" s="9"/>
      <c r="K93" s="9"/>
      <c r="L93" s="9"/>
      <c r="M93" s="9"/>
      <c r="N93" s="9"/>
      <c r="O93" s="9"/>
      <c r="P93" s="9"/>
    </row>
    <row r="94" spans="1:22" ht="12.75" customHeight="1">
      <c r="A94" s="2"/>
      <c r="B94" s="2"/>
      <c r="C94" s="2"/>
      <c r="D94" s="2"/>
      <c r="E94" s="2"/>
      <c r="F94" s="2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 spans="1:22" ht="12.75" customHeight="1">
      <c r="A95" s="2"/>
      <c r="B95" s="2"/>
      <c r="C95" s="2"/>
      <c r="D95" s="2"/>
      <c r="E95" s="2"/>
      <c r="F95" s="2"/>
      <c r="G95" s="9"/>
      <c r="H95" s="9"/>
      <c r="I95" s="2"/>
      <c r="J95" s="2"/>
      <c r="K95" s="2"/>
      <c r="L95" s="2"/>
      <c r="M95" s="2"/>
      <c r="N95" s="2"/>
      <c r="O95" s="2"/>
      <c r="P95" s="2"/>
    </row>
    <row r="96" spans="1:22" ht="12.75" customHeight="1">
      <c r="A96" s="2"/>
      <c r="B96" s="2"/>
      <c r="C96" s="2"/>
      <c r="D96" s="2"/>
      <c r="E96" s="2"/>
      <c r="F96" s="2"/>
      <c r="G96" s="9"/>
      <c r="H96" s="9"/>
      <c r="I96" s="2"/>
      <c r="J96" s="2"/>
      <c r="K96" s="2"/>
      <c r="L96" s="2"/>
      <c r="M96" s="2"/>
      <c r="N96" s="2"/>
      <c r="O96" s="2"/>
      <c r="P96" s="2"/>
    </row>
    <row r="97" spans="1:16" ht="12.75" customHeight="1">
      <c r="A97" s="2"/>
      <c r="B97" s="2"/>
      <c r="C97" s="2"/>
      <c r="D97" s="2"/>
      <c r="E97" s="2"/>
      <c r="F97" s="2"/>
      <c r="G97" s="9"/>
      <c r="H97" s="9"/>
      <c r="I97" s="2"/>
      <c r="J97" s="2"/>
      <c r="K97" s="2"/>
      <c r="L97" s="2"/>
      <c r="M97" s="2"/>
      <c r="N97" s="2"/>
      <c r="O97" s="2"/>
      <c r="P97" s="2"/>
    </row>
    <row r="98" spans="1:16" ht="12.75" customHeight="1">
      <c r="A98" s="2"/>
      <c r="B98" s="2"/>
      <c r="C98" s="2"/>
      <c r="D98" s="2"/>
      <c r="E98" s="2"/>
      <c r="F98" s="2"/>
      <c r="G98" s="9"/>
      <c r="H98" s="9"/>
      <c r="I98" s="2"/>
      <c r="J98" s="2"/>
      <c r="K98" s="2"/>
      <c r="L98" s="2"/>
      <c r="M98" s="2"/>
      <c r="N98" s="2"/>
      <c r="O98" s="2"/>
      <c r="P98" s="2"/>
    </row>
    <row r="99" spans="1:16" ht="12.75" customHeight="1">
      <c r="A99" s="2"/>
      <c r="B99" s="2"/>
      <c r="C99" s="2"/>
      <c r="D99" s="2"/>
      <c r="E99" s="2"/>
      <c r="F99" s="2"/>
      <c r="G99" s="9"/>
      <c r="H99" s="9"/>
      <c r="I99" s="2"/>
      <c r="J99" s="2"/>
      <c r="K99" s="2"/>
      <c r="L99" s="2"/>
      <c r="M99" s="2"/>
      <c r="N99" s="2"/>
      <c r="O99" s="2"/>
      <c r="P99" s="2"/>
    </row>
    <row r="100" spans="1:16" ht="12.75" customHeight="1">
      <c r="A100" s="2"/>
      <c r="B100" s="2"/>
      <c r="C100" s="2"/>
      <c r="D100" s="2"/>
      <c r="E100" s="2"/>
      <c r="F100" s="2"/>
      <c r="G100" s="9"/>
      <c r="H100" s="9"/>
      <c r="I100" s="2"/>
      <c r="J100" s="2"/>
      <c r="K100" s="2"/>
      <c r="L100" s="2"/>
      <c r="M100" s="2"/>
      <c r="N100" s="2"/>
      <c r="O100" s="2"/>
      <c r="P100" s="2"/>
    </row>
    <row r="101" spans="1:16" ht="12.75" customHeight="1">
      <c r="A101" s="2"/>
      <c r="B101" s="2"/>
      <c r="C101" s="2"/>
      <c r="D101" s="2"/>
      <c r="E101" s="2"/>
      <c r="F101" s="2"/>
      <c r="G101" s="9"/>
      <c r="H101" s="9"/>
      <c r="I101" s="2"/>
      <c r="J101" s="2"/>
      <c r="K101" s="2"/>
      <c r="L101" s="2"/>
      <c r="M101" s="2"/>
      <c r="N101" s="2"/>
      <c r="O101" s="2"/>
      <c r="P101" s="2"/>
    </row>
    <row r="102" spans="1:16" ht="12.75" customHeight="1">
      <c r="A102" s="2"/>
      <c r="B102" s="2"/>
      <c r="C102" s="2"/>
      <c r="D102" s="2"/>
      <c r="E102" s="2"/>
      <c r="F102" s="2"/>
      <c r="G102" s="9"/>
      <c r="H102" s="9"/>
      <c r="I102" s="2"/>
      <c r="J102" s="2"/>
      <c r="K102" s="2"/>
      <c r="L102" s="2"/>
      <c r="M102" s="2"/>
      <c r="N102" s="2"/>
      <c r="O102" s="2"/>
      <c r="P102" s="2"/>
    </row>
    <row r="103" spans="1:16" ht="12.75" customHeight="1">
      <c r="A103" s="2"/>
      <c r="B103" s="2"/>
      <c r="C103" s="2"/>
      <c r="D103" s="2"/>
      <c r="E103" s="2"/>
      <c r="F103" s="2"/>
      <c r="G103" s="9"/>
      <c r="H103" s="9"/>
      <c r="I103" s="2"/>
      <c r="J103" s="2"/>
      <c r="K103" s="2"/>
      <c r="L103" s="2"/>
      <c r="M103" s="2"/>
      <c r="N103" s="2"/>
      <c r="O103" s="2"/>
      <c r="P103" s="2"/>
    </row>
    <row r="104" spans="1:16" ht="12.75" customHeight="1">
      <c r="A104" s="2"/>
      <c r="B104" s="2"/>
      <c r="C104" s="2"/>
      <c r="D104" s="2"/>
      <c r="E104" s="2"/>
      <c r="F104" s="2"/>
      <c r="G104" s="9"/>
      <c r="H104" s="9"/>
      <c r="I104" s="2"/>
      <c r="J104" s="2"/>
      <c r="K104" s="2"/>
      <c r="L104" s="2"/>
      <c r="M104" s="2"/>
      <c r="N104" s="2"/>
      <c r="O104" s="2"/>
      <c r="P104" s="2"/>
    </row>
    <row r="105" spans="1:1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12.75" customHeight="1">
      <c r="A107" s="2"/>
      <c r="B107" s="2"/>
      <c r="C107" s="2"/>
      <c r="D107" s="2"/>
      <c r="E107" s="2"/>
      <c r="F107" s="2"/>
      <c r="G107" s="2"/>
      <c r="H107" s="2" t="s">
        <v>59</v>
      </c>
      <c r="I107" s="2"/>
      <c r="J107" s="2"/>
      <c r="K107" s="2"/>
      <c r="L107" s="2"/>
      <c r="M107" s="2"/>
      <c r="N107" s="2"/>
      <c r="O107" s="2"/>
      <c r="P107" s="2"/>
    </row>
    <row r="108" spans="1:16" ht="12.75" hidden="1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12.75" hidden="1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12.75" hidden="1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12.75" hidden="1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12.75" hidden="1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12.75" hidden="1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12.75" hidden="1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12.75" hidden="1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12.75" hidden="1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12.75" hidden="1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12.75" hidden="1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12.75" hidden="1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12.75" hidden="1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12.75" hidden="1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12.75" hidden="1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2.75" hidden="1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12.75" hidden="1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12.75" hidden="1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1:16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1:16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1:16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1:16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6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6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1:16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1:16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1:1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1:16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1:16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1:16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1:16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1:16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1:16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1:16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1:16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1: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1:16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1:16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1:16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1:1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1:16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1:16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1:16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1:16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1:16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1:16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1:16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1:16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1:16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1:16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1:16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1:16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1:16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1:16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1:16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1:16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1:1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1:16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1:16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1:16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1:16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1:16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1:16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1:16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1:16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1:16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6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6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6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1:16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1:16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1:16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1:16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1:16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1:16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1:1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1:16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1:16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1:16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1:16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1:16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1:16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1:16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1:16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1:16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1:1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1:16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1:16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1:16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1:16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1:16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1:16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6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1:16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6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6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1:16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1:16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1:16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1:16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1:1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1:16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1:16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1:16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16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16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16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1:16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1:16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1:16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1:16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1:16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1:16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1:16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1:16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1:16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1:16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1:16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1:16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1:16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6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1:16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1:1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1:16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1:16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1:16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1:16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1:16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1:16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1:16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1:16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1:1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1:16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1:16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1:16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1:16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1:16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1:16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1:16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1:16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1:16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1:1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1:16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1:16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1:16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1:16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1:16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1:16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6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6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16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1:16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1:16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16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1:16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1:16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1:16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1:16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1:1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1:16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1:16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1:16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1:1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1:16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1:16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1:16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1:16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1:16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1:16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1:16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1:16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1:1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1:16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6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6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1:16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1:16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1:16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1:16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1:16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1:16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1:1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1:16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1:16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1:16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1:16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1:16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1:16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1:16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1:16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1:16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1: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1:16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1:16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1:16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1:16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1:16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1:16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1:16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1:16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6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1:16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1:16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1:16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1:1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1:16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1:16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1:16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1:16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1:16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1:16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1:16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1:1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1:16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1:16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1:16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1:16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1:16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6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1:1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1:16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1:16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1:16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1:16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1:16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1:16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1:16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1:16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1:16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1:1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1:16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1:16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1:16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1:16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1:16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1:16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1:16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1:16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1:16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1:1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1:16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1:16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1:16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1:16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6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6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1:16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1:16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1:16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1:1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1:16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1:16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1:16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1:16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1:16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1:16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1:16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1:1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1:16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1:16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1:16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1:16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6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6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6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1:16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1: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1:16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1:16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1:16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1:16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1:16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1:16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1:16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1:16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1:16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1:16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1:16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1:16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1:16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1:16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1:16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1:16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1:16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1:1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spans="1:16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1:16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1:16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spans="1:16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spans="1:16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1:16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spans="1:16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spans="1:16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spans="1:16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1:1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spans="1:16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spans="1:16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1:16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1:16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1:16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1:16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1:16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1:16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spans="1:16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spans="1:1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1:16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1:16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1:16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1:16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1:16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1:16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spans="1:16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1:16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1:16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1:16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spans="1:16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1:16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1:16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1:16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1:16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1:16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1:16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1:16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1:1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1:16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1:16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1:16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1:16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1:16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1:16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spans="1:16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1:16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1:16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1:1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spans="1:16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1:16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1:16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1:16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spans="1:16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1:16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6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1:16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1:16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1:1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1:16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1:16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spans="1:16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spans="1:16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spans="1:16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1:16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spans="1:16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spans="1:16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spans="1:16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spans="1:1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spans="1:16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spans="1:16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spans="1:16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spans="1:16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spans="1:16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spans="1:16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spans="1:16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spans="1:16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spans="1:16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spans="1: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spans="1:16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spans="1:16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spans="1:16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1:16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6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1:16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spans="1:16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spans="1:16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spans="1:16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spans="1:1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spans="1:16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spans="1:16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spans="1:16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spans="1:16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spans="1:16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1:16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spans="1:16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spans="1:16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spans="1:16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spans="1:1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spans="1:16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spans="1:16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spans="1:16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spans="1:16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spans="1:16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spans="1:16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spans="1:16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spans="1:16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spans="1:16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1:1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1:16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6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1:16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1:16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spans="1:16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spans="1:16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1:16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spans="1:16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spans="1:16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spans="1:1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spans="1:16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spans="1:16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spans="1:16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spans="1:16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spans="1:16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spans="1:16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spans="1:16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spans="1:16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spans="1:16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spans="1:1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spans="1:16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spans="1:16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spans="1:16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spans="1:16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spans="1:16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spans="1:16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spans="1:16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spans="1:16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spans="1:16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spans="1:1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spans="1:16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spans="1:16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spans="1:16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spans="1:16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spans="1:16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1:16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spans="1:16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spans="1:16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spans="1:16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spans="1:1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spans="1:16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spans="1:16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spans="1:16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spans="1:16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spans="1:16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spans="1:16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spans="1:16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spans="1:16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spans="1:16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spans="1:1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spans="1:16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spans="1:16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spans="1:16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spans="1:16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spans="1:16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spans="1:16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spans="1:16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spans="1:16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spans="1:16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spans="1:1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spans="1:16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spans="1:16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spans="1:16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1:16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1:16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spans="1:16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spans="1:16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spans="1:16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spans="1:16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spans="1: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spans="1:16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spans="1:16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spans="1:16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spans="1:16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spans="1:16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spans="1:16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spans="1:16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spans="1:16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spans="1:16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spans="1:1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spans="1:16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spans="1:16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spans="1:16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spans="1:16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spans="1:16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spans="1:16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spans="1:16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spans="1:16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spans="1:16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spans="1:1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spans="1:16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spans="1:16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spans="1:16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spans="1:16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spans="1:16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1:16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spans="1:16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spans="1:16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spans="1:16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spans="1:1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spans="1:16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spans="1:16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spans="1:16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spans="1:16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spans="1:16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spans="1:16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spans="1:16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spans="1:16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spans="1:16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spans="1:1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spans="1:16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spans="1:16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spans="1:16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spans="1:16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spans="1:16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spans="1:16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spans="1:16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spans="1:16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spans="1:16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spans="1:1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spans="1:16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spans="1:16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spans="1:16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spans="1:16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spans="1:16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spans="1:16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spans="1:16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spans="1:16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spans="1:16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spans="1:1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spans="1:16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spans="1:16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spans="1:16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spans="1:16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spans="1:16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spans="1:16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spans="1:16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spans="1:16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spans="1:16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spans="1:1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spans="1:16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spans="1:16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spans="1:16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spans="1:16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spans="1:16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spans="1:16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spans="1:16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spans="1:16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spans="1:16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spans="1:1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spans="1:16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spans="1:16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spans="1:16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1:16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 spans="1:16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</sheetData>
  <sheetProtection algorithmName="SHA-512" hashValue="GcPDzgGZY3iztPHuBRwYnXTauWIvNYBRnbeD1XflpXCAY56PUbxDDYTUIFqYS6iqJ+C23QOerBp75xaI6l2lZA==" saltValue="1ywiTeMr7+m7TKFPETKREg==" spinCount="100000" sheet="1" objects="1" scenarios="1" selectLockedCells="1" selectUnlockedCells="1"/>
  <mergeCells count="12">
    <mergeCell ref="A10:B10"/>
    <mergeCell ref="A31:B31"/>
    <mergeCell ref="A32:B32"/>
    <mergeCell ref="A2:K2"/>
    <mergeCell ref="A3:K3"/>
    <mergeCell ref="A5:K5"/>
    <mergeCell ref="A7:F8"/>
    <mergeCell ref="G7:H7"/>
    <mergeCell ref="I7:I8"/>
    <mergeCell ref="J7:J8"/>
    <mergeCell ref="K7:K8"/>
    <mergeCell ref="A4:K4"/>
  </mergeCells>
  <pageMargins left="1" right="1" top="1.25" bottom="1" header="0" footer="0.5"/>
  <pageSetup scale="73" firstPageNumber="123" fitToHeight="0" orientation="landscape" useFirstPageNumber="1" r:id="rId1"/>
  <headerFooter scaleWithDoc="0"/>
  <colBreaks count="1" manualBreakCount="1">
    <brk id="3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2045-8E09-4AA0-A7A5-D196E0588E47}">
  <dimension ref="A1:E32"/>
  <sheetViews>
    <sheetView topLeftCell="A10" workbookViewId="0">
      <selection activeCell="G24" sqref="G24"/>
    </sheetView>
  </sheetViews>
  <sheetFormatPr defaultRowHeight="14.4"/>
  <sheetData>
    <row r="1" spans="1:4">
      <c r="B1" t="s">
        <v>379</v>
      </c>
      <c r="C1" t="s">
        <v>380</v>
      </c>
      <c r="D1" t="s">
        <v>381</v>
      </c>
    </row>
    <row r="2" spans="1:4">
      <c r="A2">
        <v>1</v>
      </c>
      <c r="B2">
        <v>2</v>
      </c>
      <c r="C2">
        <v>1</v>
      </c>
      <c r="D2">
        <v>1</v>
      </c>
    </row>
    <row r="3" spans="1:4">
      <c r="A3">
        <v>2</v>
      </c>
      <c r="C3">
        <v>1</v>
      </c>
      <c r="D3">
        <v>1</v>
      </c>
    </row>
    <row r="4" spans="1:4">
      <c r="A4">
        <v>3</v>
      </c>
      <c r="B4">
        <v>2</v>
      </c>
      <c r="C4">
        <v>1</v>
      </c>
    </row>
    <row r="5" spans="1:4">
      <c r="A5">
        <v>4</v>
      </c>
      <c r="C5">
        <v>1</v>
      </c>
      <c r="D5">
        <v>1</v>
      </c>
    </row>
    <row r="6" spans="1:4">
      <c r="A6">
        <v>5</v>
      </c>
      <c r="B6">
        <v>2</v>
      </c>
    </row>
    <row r="7" spans="1:4">
      <c r="A7">
        <v>6</v>
      </c>
      <c r="B7">
        <v>1</v>
      </c>
      <c r="C7">
        <v>1</v>
      </c>
    </row>
    <row r="8" spans="1:4">
      <c r="A8">
        <v>7</v>
      </c>
      <c r="C8">
        <v>1</v>
      </c>
      <c r="D8">
        <v>1</v>
      </c>
    </row>
    <row r="9" spans="1:4">
      <c r="A9">
        <v>8</v>
      </c>
      <c r="C9">
        <v>2</v>
      </c>
    </row>
    <row r="10" spans="1:4">
      <c r="A10">
        <v>9</v>
      </c>
      <c r="C10">
        <v>1</v>
      </c>
      <c r="D10">
        <v>1</v>
      </c>
    </row>
    <row r="11" spans="1:4">
      <c r="A11">
        <v>10</v>
      </c>
      <c r="B11">
        <v>1</v>
      </c>
    </row>
    <row r="12" spans="1:4">
      <c r="A12">
        <v>11</v>
      </c>
      <c r="C12">
        <v>4</v>
      </c>
    </row>
    <row r="13" spans="1:4">
      <c r="A13">
        <v>12</v>
      </c>
      <c r="C13">
        <v>1</v>
      </c>
    </row>
    <row r="14" spans="1:4">
      <c r="A14">
        <v>13</v>
      </c>
      <c r="C14">
        <v>1</v>
      </c>
    </row>
    <row r="15" spans="1:4">
      <c r="A15">
        <v>14</v>
      </c>
      <c r="C15">
        <v>1</v>
      </c>
      <c r="D15">
        <v>1</v>
      </c>
    </row>
    <row r="16" spans="1:4">
      <c r="A16">
        <v>15</v>
      </c>
      <c r="D16">
        <v>1</v>
      </c>
    </row>
    <row r="17" spans="1:5">
      <c r="A17">
        <v>16</v>
      </c>
      <c r="C17">
        <v>1</v>
      </c>
    </row>
    <row r="18" spans="1:5">
      <c r="A18">
        <v>17</v>
      </c>
      <c r="C18">
        <v>1</v>
      </c>
    </row>
    <row r="19" spans="1:5">
      <c r="A19">
        <v>18</v>
      </c>
      <c r="D19">
        <v>1</v>
      </c>
    </row>
    <row r="20" spans="1:5">
      <c r="A20">
        <v>19</v>
      </c>
      <c r="C20">
        <v>1</v>
      </c>
    </row>
    <row r="21" spans="1:5">
      <c r="A21">
        <v>20</v>
      </c>
      <c r="C21">
        <v>1</v>
      </c>
    </row>
    <row r="22" spans="1:5">
      <c r="A22">
        <v>21</v>
      </c>
      <c r="C22">
        <v>3</v>
      </c>
    </row>
    <row r="23" spans="1:5">
      <c r="A23">
        <v>22</v>
      </c>
      <c r="C23">
        <v>1</v>
      </c>
    </row>
    <row r="24" spans="1:5">
      <c r="A24">
        <v>23</v>
      </c>
      <c r="C24">
        <v>1</v>
      </c>
      <c r="D24">
        <v>1</v>
      </c>
    </row>
    <row r="25" spans="1:5">
      <c r="A25">
        <v>24</v>
      </c>
      <c r="D25">
        <v>1</v>
      </c>
    </row>
    <row r="26" spans="1:5">
      <c r="A26">
        <v>25</v>
      </c>
      <c r="C26">
        <v>1</v>
      </c>
      <c r="D26">
        <v>3</v>
      </c>
    </row>
    <row r="27" spans="1:5">
      <c r="A27">
        <v>26</v>
      </c>
      <c r="D27">
        <v>1</v>
      </c>
    </row>
    <row r="28" spans="1:5">
      <c r="A28">
        <v>27</v>
      </c>
      <c r="D28">
        <v>1</v>
      </c>
    </row>
    <row r="29" spans="1:5">
      <c r="A29">
        <v>28</v>
      </c>
      <c r="C29">
        <v>1</v>
      </c>
    </row>
    <row r="30" spans="1:5">
      <c r="A30">
        <v>29</v>
      </c>
      <c r="D30">
        <v>3</v>
      </c>
    </row>
    <row r="31" spans="1:5">
      <c r="B31">
        <f>SUM(B2:B30)</f>
        <v>8</v>
      </c>
      <c r="C31">
        <f t="shared" ref="C31:D31" si="0">SUM(C2:C30)</f>
        <v>27</v>
      </c>
      <c r="D31">
        <f t="shared" si="0"/>
        <v>18</v>
      </c>
      <c r="E31">
        <f>SUM(B31:D31)</f>
        <v>53</v>
      </c>
    </row>
    <row r="32" spans="1:5">
      <c r="B32" s="79">
        <f>ROUND(+B31/$E$31,4)</f>
        <v>0.15090000000000001</v>
      </c>
      <c r="C32" s="79">
        <f t="shared" ref="C32:D32" si="1">ROUND(+C31/$E$31,4)</f>
        <v>0.50939999999999996</v>
      </c>
      <c r="D32" s="79">
        <f t="shared" si="1"/>
        <v>0.33960000000000001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Annex A - SFPo</vt:lpstr>
      <vt:lpstr>Annex B - SFPe</vt:lpstr>
      <vt:lpstr>Annex C - SCNAE</vt:lpstr>
      <vt:lpstr>Annex D - SCF</vt:lpstr>
      <vt:lpstr>SCBAA-GF</vt:lpstr>
      <vt:lpstr>SCBAA-SEF</vt:lpstr>
      <vt:lpstr>Sheet1</vt:lpstr>
      <vt:lpstr>'Annex A - SFPo'!Print_Area</vt:lpstr>
      <vt:lpstr>'Annex B - SFPe'!Print_Area</vt:lpstr>
      <vt:lpstr>'Annex C - SCNAE'!Print_Area</vt:lpstr>
      <vt:lpstr>'Annex D - SCF'!Print_Area</vt:lpstr>
      <vt:lpstr>'SCBAA-GF'!Print_Area</vt:lpstr>
      <vt:lpstr>'SCBAA-SEF'!Print_Area</vt:lpstr>
      <vt:lpstr>'Annex A - SFPo'!Print_Titles</vt:lpstr>
      <vt:lpstr>'Annex B - SFPe'!Print_Titles</vt:lpstr>
      <vt:lpstr>'Annex D - SCF'!Print_Titles</vt:lpstr>
      <vt:lpstr>'SCBAA-GF'!Print_Titles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Manila City, NCR</dc:creator>
  <cp:lastModifiedBy>Riziel C. Garcia</cp:lastModifiedBy>
  <cp:lastPrinted>2023-06-20T00:13:59Z</cp:lastPrinted>
  <dcterms:created xsi:type="dcterms:W3CDTF">2020-09-30T01:10:12Z</dcterms:created>
  <dcterms:modified xsi:type="dcterms:W3CDTF">2023-06-20T00:15:25Z</dcterms:modified>
</cp:coreProperties>
</file>